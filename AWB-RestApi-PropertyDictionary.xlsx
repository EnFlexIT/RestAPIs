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3AEF8AAF-C845-4942-8C9B-A574FB5C1D1F}" xr6:coauthVersionLast="47" xr6:coauthVersionMax="47" xr10:uidLastSave="{00000000-0000-0000-0000-000000000000}"/>
  <bookViews>
    <workbookView xWindow="38290" yWindow="10770" windowWidth="19420" windowHeight="103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B44" i="2"/>
  <c r="A44" i="2"/>
  <c r="A109" i="2"/>
  <c r="A108" i="2"/>
  <c r="A107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107" i="2"/>
  <c r="B108" i="2"/>
  <c r="B109" i="2"/>
</calcChain>
</file>

<file path=xl/sharedStrings.xml><?xml version="1.0" encoding="utf-8"?>
<sst xmlns="http://schemas.openxmlformats.org/spreadsheetml/2006/main" count="703" uniqueCount="195">
  <si>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</si>
  <si>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</si>
  <si>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</si>
  <si>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</si>
  <si>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</si>
  <si>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</si>
  <si>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</si>
  <si>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</si>
  <si>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</si>
  <si>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</si>
  <si>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</si>
  <si>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</si>
  <si>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</si>
  <si>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</si>
  <si>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</si>
  <si>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</si>
  <si>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</si>
  <si>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</si>
  <si>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</si>
  <si>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</si>
  <si>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</si>
  <si>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</si>
  <si>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</si>
  <si>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</si>
  <si>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</si>
  <si>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</si>
  <si>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</si>
  <si>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</si>
  <si>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</si>
  <si>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</si>
  <si>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</si>
  <si>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</si>
  <si>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</si>
  <si>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</si>
  <si>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</si>
  <si>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</si>
  <si>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</si>
  <si>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</si>
  <si>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</si>
  <si>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</si>
  <si>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</si>
  <si>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</si>
  <si>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</si>
  <si>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</si>
  <si>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</si>
  <si>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</si>
  <si>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</si>
  <si>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</si>
  <si>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</si>
  <si>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</si>
  <si>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</si>
  <si>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</si>
  <si>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</si>
  <si>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</si>
  <si>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</si>
  <si>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</si>
  <si>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</si>
  <si>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</si>
  <si>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</si>
  <si>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</si>
  <si>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</si>
  <si>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</si>
  <si>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</si>
  <si>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</si>
  <si>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</si>
  <si>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</si>
  <si>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</si>
  <si>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</si>
  <si>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</si>
  <si>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</si>
  <si>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</si>
  <si>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</si>
  <si>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</si>
  <si>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</si>
  <si>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</si>
  <si>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</si>
  <si>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</si>
  <si>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</si>
  <si>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</si>
  <si>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</si>
  <si>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</si>
  <si>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</si>
  <si>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</si>
  <si>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</si>
  <si>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</si>
  <si>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</si>
  <si>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</si>
  <si>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</si>
  <si>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</si>
  <si>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</si>
  <si>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</si>
  <si>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</si>
  <si>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</si>
  <si>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</si>
  <si>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</si>
  <si>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</si>
  <si>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</si>
  <si>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</si>
  <si>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</si>
  <si>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</si>
  <si>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</si>
  <si>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</si>
  <si>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</si>
  <si>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</si>
  <si>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</si>
  <si>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</si>
  <si>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</si>
  <si>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</si>
  <si>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</si>
  <si>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</si>
  <si>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</si>
  <si>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</si>
  <si>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</si>
  <si>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</si>
  <si>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</si>
  <si>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</si>
  <si>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</si>
  <si>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</si>
  <si>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</si>
  <si>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</si>
  <si>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</si>
  <si>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</si>
  <si>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</si>
  <si>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</si>
  <si>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</si>
  <si>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</si>
  <si>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</si>
  <si>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</si>
  <si>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</si>
  <si>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</si>
  <si>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</si>
  <si>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</si>
  <si>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</si>
  <si>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bgsystem.auto_init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</si>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</sst>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3"/>
  <sheetViews>
    <sheetView tabSelected="1" topLeftCell="C1" workbookViewId="0">
      <pane ySplit="1" topLeftCell="A73" activePane="bottomLeft" state="frozen"/>
      <selection activeCell="H1" sqref="H1"/>
      <selection pane="bottomLeft" activeCell="D76" sqref="D76"/>
    </sheetView>
  </sheetViews>
  <sheetFormatPr baseColWidth="10" defaultColWidth="9.1796875" defaultRowHeight="14.5" x14ac:dyDescent="0.35"/>
  <cols>
    <col min="1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137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137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137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137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134</v>
      </c>
      <c r="E48" t="s">
        <v>7</v>
      </c>
      <c r="F48" s="6" t="s">
        <v>120</v>
      </c>
      <c r="G48" t="s">
        <v>75</v>
      </c>
      <c r="H48" t="s">
        <v>137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137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137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137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137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137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135</v>
      </c>
      <c r="H54" t="s">
        <v>137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137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137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137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139</v>
      </c>
      <c r="E58" t="s">
        <v>7</v>
      </c>
      <c r="F58" s="6" t="s">
        <v>140</v>
      </c>
      <c r="H58" t="s">
        <v>137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137</v>
      </c>
      <c r="I59" s="5" t="s">
        <v>59</v>
      </c>
      <c r="J59" s="5" t="s">
        <v>59</v>
      </c>
    </row>
    <row r="60" spans="1:11" x14ac:dyDescent="0.35">
      <c r="A60" t="s">
        <v>82</v>
      </c>
      <c r="C60" t="s">
        <v>5</v>
      </c>
      <c r="D60" t="s">
        <v>133</v>
      </c>
      <c r="H60" t="s">
        <v>137</v>
      </c>
      <c r="I60" s="5" t="s">
        <v>59</v>
      </c>
      <c r="J60" s="5" t="s">
        <v>59</v>
      </c>
    </row>
    <row r="61" spans="1:11" x14ac:dyDescent="0.35">
      <c r="A61" t="s">
        <v>91</v>
      </c>
      <c r="C61" t="s">
        <v>5</v>
      </c>
      <c r="D61" t="s">
        <v>127</v>
      </c>
      <c r="E61" t="s">
        <v>7</v>
      </c>
      <c r="F61" t="s">
        <v>122</v>
      </c>
      <c r="I61" s="5" t="s">
        <v>59</v>
      </c>
      <c r="J61" s="5" t="s">
        <v>59</v>
      </c>
      <c r="K61" t="s">
        <v>81</v>
      </c>
    </row>
    <row r="62" spans="1:11" x14ac:dyDescent="0.35">
      <c r="A62" t="s">
        <v>94</v>
      </c>
      <c r="C62" t="s">
        <v>5</v>
      </c>
      <c r="D62" t="s">
        <v>92</v>
      </c>
      <c r="E62" t="s">
        <v>7</v>
      </c>
      <c r="F62" t="s">
        <v>93</v>
      </c>
      <c r="I62" s="5" t="s">
        <v>59</v>
      </c>
      <c r="J62" s="5" t="s">
        <v>59</v>
      </c>
    </row>
    <row r="63" spans="1:11" x14ac:dyDescent="0.35">
      <c r="A63" t="s">
        <v>95</v>
      </c>
      <c r="B63" t="s">
        <v>97</v>
      </c>
      <c r="C63" t="s">
        <v>5</v>
      </c>
      <c r="D63" t="s">
        <v>138</v>
      </c>
      <c r="E63" t="s">
        <v>7</v>
      </c>
      <c r="F63" t="s">
        <v>126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173</v>
      </c>
      <c r="I64" s="5" t="s">
        <v>59</v>
      </c>
    </row>
    <row r="65" spans="1:9" x14ac:dyDescent="0.35">
      <c r="A65" t="s">
        <v>83</v>
      </c>
      <c r="C65" t="s">
        <v>5</v>
      </c>
      <c r="D65" t="s">
        <v>142</v>
      </c>
      <c r="E65" t="s">
        <v>7</v>
      </c>
      <c r="F65" t="s">
        <v>175</v>
      </c>
      <c r="I65" s="5" t="s">
        <v>59</v>
      </c>
    </row>
    <row r="66" spans="1:9" x14ac:dyDescent="0.35">
      <c r="A66" t="s">
        <v>83</v>
      </c>
      <c r="C66" t="s">
        <v>5</v>
      </c>
      <c r="D66" t="s">
        <v>143</v>
      </c>
      <c r="E66" t="s">
        <v>20</v>
      </c>
      <c r="F66" t="s">
        <v>21</v>
      </c>
      <c r="I66" s="5" t="s">
        <v>59</v>
      </c>
    </row>
    <row r="67" spans="1:9" x14ac:dyDescent="0.35">
      <c r="A67" t="s">
        <v>83</v>
      </c>
      <c r="C67" t="s">
        <v>5</v>
      </c>
      <c r="D67" t="s">
        <v>144</v>
      </c>
      <c r="E67" t="s">
        <v>7</v>
      </c>
      <c r="F67" t="s">
        <v>184</v>
      </c>
      <c r="I67" s="5" t="s">
        <v>59</v>
      </c>
    </row>
    <row r="68" spans="1:9" x14ac:dyDescent="0.35">
      <c r="A68" t="s">
        <v>83</v>
      </c>
      <c r="C68" t="s">
        <v>5</v>
      </c>
      <c r="D68" t="s">
        <v>145</v>
      </c>
      <c r="E68" t="s">
        <v>7</v>
      </c>
      <c r="F68" t="s">
        <v>174</v>
      </c>
      <c r="I68" s="5" t="s">
        <v>59</v>
      </c>
    </row>
    <row r="69" spans="1:9" x14ac:dyDescent="0.35">
      <c r="A69" t="s">
        <v>83</v>
      </c>
      <c r="C69" t="s">
        <v>5</v>
      </c>
      <c r="D69" t="s">
        <v>146</v>
      </c>
      <c r="E69" t="s">
        <v>26</v>
      </c>
      <c r="F69" t="s">
        <v>185</v>
      </c>
      <c r="I69" s="5" t="s">
        <v>59</v>
      </c>
    </row>
    <row r="70" spans="1:9" x14ac:dyDescent="0.35">
      <c r="A70" t="s">
        <v>83</v>
      </c>
      <c r="C70" t="s">
        <v>5</v>
      </c>
      <c r="D70" t="s">
        <v>147</v>
      </c>
      <c r="E70" t="s">
        <v>7</v>
      </c>
      <c r="F70" t="s">
        <v>183</v>
      </c>
      <c r="I70" s="5" t="s">
        <v>59</v>
      </c>
    </row>
    <row r="71" spans="1:9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I71" s="5" t="s">
        <v>59</v>
      </c>
    </row>
    <row r="72" spans="1:9" x14ac:dyDescent="0.35">
      <c r="A72" t="s">
        <v>83</v>
      </c>
      <c r="C72" t="s">
        <v>5</v>
      </c>
      <c r="D72" t="s">
        <v>149</v>
      </c>
      <c r="E72" t="s">
        <v>26</v>
      </c>
      <c r="F72" t="s">
        <v>189</v>
      </c>
      <c r="I72" s="5" t="s">
        <v>59</v>
      </c>
    </row>
    <row r="73" spans="1:9" x14ac:dyDescent="0.35">
      <c r="A73" t="s">
        <v>83</v>
      </c>
      <c r="C73" t="s">
        <v>5</v>
      </c>
      <c r="D73" t="s">
        <v>150</v>
      </c>
      <c r="E73" t="s">
        <v>26</v>
      </c>
      <c r="F73" t="s">
        <v>189</v>
      </c>
      <c r="I73" s="5" t="s">
        <v>59</v>
      </c>
    </row>
    <row r="74" spans="1:9" x14ac:dyDescent="0.35">
      <c r="A74" t="s">
        <v>83</v>
      </c>
      <c r="C74" t="s">
        <v>5</v>
      </c>
      <c r="D74" t="s">
        <v>151</v>
      </c>
      <c r="E74" t="s">
        <v>26</v>
      </c>
      <c r="F74" t="s">
        <v>193</v>
      </c>
      <c r="I74" s="5" t="s">
        <v>59</v>
      </c>
    </row>
    <row r="75" spans="1:9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I75" s="5" t="s">
        <v>59</v>
      </c>
    </row>
    <row r="76" spans="1:9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I76" s="5" t="s">
        <v>59</v>
      </c>
    </row>
    <row r="77" spans="1:9" x14ac:dyDescent="0.35">
      <c r="A77" t="s">
        <v>83</v>
      </c>
      <c r="C77" t="s">
        <v>5</v>
      </c>
      <c r="D77" t="s">
        <v>154</v>
      </c>
      <c r="E77" t="s">
        <v>7</v>
      </c>
      <c r="F77" t="s">
        <v>192</v>
      </c>
      <c r="I77" s="5" t="s">
        <v>59</v>
      </c>
    </row>
    <row r="78" spans="1:9" x14ac:dyDescent="0.35">
      <c r="A78" t="s">
        <v>83</v>
      </c>
      <c r="C78" t="s">
        <v>5</v>
      </c>
      <c r="D78" t="s">
        <v>156</v>
      </c>
      <c r="E78" t="s">
        <v>7</v>
      </c>
      <c r="F78" t="s">
        <v>176</v>
      </c>
      <c r="I78" s="5" t="s">
        <v>59</v>
      </c>
    </row>
    <row r="79" spans="1:9" x14ac:dyDescent="0.35">
      <c r="A79" t="s">
        <v>83</v>
      </c>
      <c r="C79" t="s">
        <v>5</v>
      </c>
      <c r="D79" t="s">
        <v>155</v>
      </c>
      <c r="E79" t="s">
        <v>26</v>
      </c>
      <c r="F79" t="s">
        <v>177</v>
      </c>
      <c r="I79" s="5" t="s">
        <v>59</v>
      </c>
    </row>
    <row r="80" spans="1:9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I80" s="5" t="s">
        <v>59</v>
      </c>
    </row>
    <row r="81" spans="1:9" x14ac:dyDescent="0.35">
      <c r="A81" t="s">
        <v>83</v>
      </c>
      <c r="C81" t="s">
        <v>5</v>
      </c>
      <c r="D81" t="s">
        <v>158</v>
      </c>
      <c r="E81" t="s">
        <v>26</v>
      </c>
      <c r="F81" t="s">
        <v>178</v>
      </c>
      <c r="I81" s="5" t="s">
        <v>59</v>
      </c>
    </row>
    <row r="82" spans="1:9" x14ac:dyDescent="0.35">
      <c r="A82" t="s">
        <v>83</v>
      </c>
      <c r="C82" t="s">
        <v>5</v>
      </c>
      <c r="D82" t="s">
        <v>159</v>
      </c>
      <c r="E82" t="s">
        <v>26</v>
      </c>
      <c r="F82" t="s">
        <v>174</v>
      </c>
      <c r="I82" s="5" t="s">
        <v>59</v>
      </c>
    </row>
    <row r="83" spans="1:9" x14ac:dyDescent="0.35">
      <c r="A83" t="s">
        <v>83</v>
      </c>
      <c r="C83" t="s">
        <v>5</v>
      </c>
      <c r="D83" t="s">
        <v>160</v>
      </c>
      <c r="E83" t="s">
        <v>161</v>
      </c>
      <c r="F83" t="s">
        <v>194</v>
      </c>
      <c r="I83" s="5" t="s">
        <v>59</v>
      </c>
    </row>
    <row r="84" spans="1:9" x14ac:dyDescent="0.35">
      <c r="A84" t="s">
        <v>83</v>
      </c>
      <c r="C84" t="s">
        <v>5</v>
      </c>
      <c r="D84" t="s">
        <v>168</v>
      </c>
      <c r="E84" t="s">
        <v>172</v>
      </c>
      <c r="F84" t="s">
        <v>186</v>
      </c>
      <c r="I84" s="5" t="s">
        <v>59</v>
      </c>
    </row>
    <row r="85" spans="1:9" x14ac:dyDescent="0.35">
      <c r="A85" t="s">
        <v>83</v>
      </c>
      <c r="C85" t="s">
        <v>5</v>
      </c>
      <c r="D85" t="s">
        <v>169</v>
      </c>
      <c r="E85" t="s">
        <v>172</v>
      </c>
      <c r="F85" t="s">
        <v>187</v>
      </c>
      <c r="I85" s="5" t="s">
        <v>59</v>
      </c>
    </row>
    <row r="86" spans="1:9" x14ac:dyDescent="0.35">
      <c r="A86" t="s">
        <v>83</v>
      </c>
      <c r="C86" t="s">
        <v>5</v>
      </c>
      <c r="D86" t="s">
        <v>170</v>
      </c>
      <c r="E86" t="s">
        <v>172</v>
      </c>
      <c r="F86" t="s">
        <v>187</v>
      </c>
      <c r="I86" s="5" t="s">
        <v>59</v>
      </c>
    </row>
    <row r="87" spans="1:9" x14ac:dyDescent="0.35">
      <c r="A87" t="s">
        <v>83</v>
      </c>
      <c r="C87" t="s">
        <v>5</v>
      </c>
      <c r="D87" t="s">
        <v>171</v>
      </c>
      <c r="E87" t="s">
        <v>172</v>
      </c>
      <c r="F87" t="s">
        <v>187</v>
      </c>
      <c r="I87" s="5" t="s">
        <v>59</v>
      </c>
    </row>
    <row r="88" spans="1:9" x14ac:dyDescent="0.35">
      <c r="A88" t="s">
        <v>83</v>
      </c>
      <c r="C88" t="s">
        <v>5</v>
      </c>
      <c r="D88" t="s">
        <v>162</v>
      </c>
      <c r="E88" t="s">
        <v>20</v>
      </c>
      <c r="F88" t="s">
        <v>21</v>
      </c>
      <c r="I88" s="5" t="s">
        <v>59</v>
      </c>
    </row>
    <row r="89" spans="1:9" x14ac:dyDescent="0.35">
      <c r="A89" t="s">
        <v>83</v>
      </c>
      <c r="C89" t="s">
        <v>5</v>
      </c>
      <c r="D89" t="s">
        <v>163</v>
      </c>
      <c r="E89" t="s">
        <v>161</v>
      </c>
      <c r="F89" t="s">
        <v>180</v>
      </c>
      <c r="I89" s="5" t="s">
        <v>59</v>
      </c>
    </row>
    <row r="90" spans="1:9" x14ac:dyDescent="0.35">
      <c r="A90" t="s">
        <v>83</v>
      </c>
      <c r="C90" t="s">
        <v>5</v>
      </c>
      <c r="D90" t="s">
        <v>164</v>
      </c>
      <c r="E90" t="s">
        <v>161</v>
      </c>
      <c r="F90" t="s">
        <v>179</v>
      </c>
      <c r="I90" s="5" t="s">
        <v>59</v>
      </c>
    </row>
    <row r="91" spans="1:9" x14ac:dyDescent="0.35">
      <c r="A91" t="s">
        <v>83</v>
      </c>
      <c r="C91" t="s">
        <v>5</v>
      </c>
      <c r="D91" t="s">
        <v>165</v>
      </c>
      <c r="E91" t="s">
        <v>161</v>
      </c>
      <c r="F91" t="s">
        <v>181</v>
      </c>
      <c r="I91" s="5" t="s">
        <v>59</v>
      </c>
    </row>
    <row r="92" spans="1:9" x14ac:dyDescent="0.35">
      <c r="A92" t="s">
        <v>83</v>
      </c>
      <c r="C92" t="s">
        <v>5</v>
      </c>
      <c r="D92" t="s">
        <v>166</v>
      </c>
      <c r="E92" t="s">
        <v>26</v>
      </c>
      <c r="F92" t="s">
        <v>182</v>
      </c>
      <c r="I92" s="5" t="s">
        <v>59</v>
      </c>
    </row>
    <row r="93" spans="1:9" x14ac:dyDescent="0.35">
      <c r="A93" t="s">
        <v>83</v>
      </c>
      <c r="C93" t="s">
        <v>5</v>
      </c>
      <c r="D93" t="s">
        <v>167</v>
      </c>
      <c r="E93" t="s">
        <v>20</v>
      </c>
      <c r="F93" t="s">
        <v>21</v>
      </c>
      <c r="I93" s="5" t="s">
        <v>59</v>
      </c>
    </row>
  </sheetData>
  <conditionalFormatting sqref="I2:J43 J44:J63 I44:I9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sheetPr filterMode="1"/>
  <dimension ref="A1:B135"/>
  <sheetViews>
    <sheetView topLeftCell="A89" workbookViewId="0">
      <selection activeCell="A138" sqref="A138"/>
    </sheetView>
  </sheetViews>
  <sheetFormatPr baseColWidth="10" defaultRowHeight="14.5" x14ac:dyDescent="0.35"/>
  <cols>
    <col min="1" max="1" width="24.632812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136</v>
      </c>
    </row>
    <row r="2" spans="1:2" hidden="1" x14ac:dyDescent="0.35">
      <c r="A2" t="str">
        <f>'Property-Definition'!A2</f>
        <v>DB.SYSTEMS</v>
      </c>
      <c r="B2" t="str">
        <f>"public final static String "&amp; UPPER(SUBSTITUTE('Property-Definition'!D2,".","_"))&amp;" = "&amp; CHAR(34) &amp; 'Property-Definition'!D2 &amp; CHAR(34)&amp; ";"</f>
        <v>public final static String DBSYSTEM[X] = "dbSystem[X]";</v>
      </c>
    </row>
    <row r="3" spans="1:2" hidden="1" x14ac:dyDescent="0.35">
      <c r="A3" t="str">
        <f>'Property-Definition'!A3</f>
        <v>DB.SYSTEMS.PARAMETER</v>
      </c>
      <c r="B3" t="str">
        <f>"public final static String "&amp; UPPER(SUBSTITUTE('Property-Definition'!D3,".","_"))&amp;" = "&amp; CHAR(34) &amp; 'Property-Definition'!D3 &amp; CHAR(34)&amp; ";"</f>
        <v>public final static String DBSYSTEM[X] = "dbSystem[X]";</v>
      </c>
    </row>
    <row r="4" spans="1:2" hidden="1" x14ac:dyDescent="0.35">
      <c r="A4" t="str">
        <f>'Property-Definition'!A4</f>
        <v>DB.SYSTEMS.PARAMETER</v>
      </c>
      <c r="B4" t="str">
        <f>"public final static String "&amp; UPPER(SUBSTITUTE('Property-Definition'!D4,".","_"))&amp;" = "&amp; CHAR(34) &amp; 'Property-Definition'!D4 &amp; CHAR(34)&amp; ";"</f>
        <v>public final static String DBSYSTEM[X]_HIBERNATE_CONNECTION_DRIVER_CLASS = "dbSystem[X].hibernate.connection.driver_class";</v>
      </c>
    </row>
    <row r="5" spans="1:2" hidden="1" x14ac:dyDescent="0.35">
      <c r="A5" t="str">
        <f>'Property-Definition'!A5</f>
        <v>DB.SYSTEMS.PARAMETER</v>
      </c>
      <c r="B5" t="str">
        <f>"public final static String "&amp; UPPER(SUBSTITUTE('Property-Definition'!D5,".","_"))&amp;" = "&amp; CHAR(34) &amp; 'Property-Definition'!D5 &amp; CHAR(34)&amp; ";"</f>
        <v>public final static String DBSYSTEM[X]_HIBERNATE_CONNECTION_URL = "dbSystem[X].hibernate.connection.url";</v>
      </c>
    </row>
    <row r="6" spans="1:2" hidden="1" x14ac:dyDescent="0.35">
      <c r="A6" t="str">
        <f>'Property-Definition'!A6</f>
        <v>DB.SYSTEMS.PARAMETER</v>
      </c>
      <c r="B6" t="str">
        <f>"public final static String "&amp; UPPER(SUBSTITUTE('Property-Definition'!D6,".","_"))&amp;" = "&amp; CHAR(34) &amp; 'Property-Definition'!D6 &amp; CHAR(34)&amp; ";"</f>
        <v>public final static String DBSYSTEM[X]_HIBERNATE_CONNECTION_URL_MASK = "dbSystem[X].hibernate.connection.url.mask";</v>
      </c>
    </row>
    <row r="7" spans="1:2" hidden="1" x14ac:dyDescent="0.35">
      <c r="A7" t="str">
        <f>'Property-Definition'!A7</f>
        <v>DB.SYSTEMS.PARAMETER</v>
      </c>
      <c r="B7" t="str">
        <f>"public final static String "&amp; UPPER(SUBSTITUTE('Property-Definition'!D7,".","_"))&amp;" = "&amp; CHAR(34) &amp; 'Property-Definition'!D7 &amp; CHAR(34)&amp; ";"</f>
        <v>public final static String DBSYSTEM[X]_HIBERNATE_DEFAULT_CATALOG = "dbSystem[X].hibernate.default_catalog";</v>
      </c>
    </row>
    <row r="8" spans="1:2" hidden="1" x14ac:dyDescent="0.35">
      <c r="A8" t="str">
        <f>'Property-Definition'!A8</f>
        <v>DB.SYSTEMS.PARAMETER</v>
      </c>
      <c r="B8" t="str">
        <f>"public final static String "&amp; UPPER(SUBSTITUTE('Property-Definition'!D8,".","_"))&amp;" = "&amp; CHAR(34) &amp; 'Property-Definition'!D8 &amp; CHAR(34)&amp; ";"</f>
        <v>public final static String DBSYSTEM[X]_HIBERNATE_CONNECTION_USERNAME = "dbSystem[X].hibernate.connection.username";</v>
      </c>
    </row>
    <row r="9" spans="1:2" hidden="1" x14ac:dyDescent="0.35">
      <c r="A9" t="str">
        <f>'Property-Definition'!A9</f>
        <v>DB.SYSTEMS.PARAMETER</v>
      </c>
      <c r="B9" t="str">
        <f>"public final static String "&amp; UPPER(SUBSTITUTE('Property-Definition'!D9,".","_"))&amp;" = "&amp; CHAR(34) &amp; 'Property-Definition'!D9 &amp; CHAR(34)&amp; ";"</f>
        <v>public final static String DBSYSTEM[X]_HIBERNATE_CONNECTION_PASSWORD = "dbSystem[X].hibernate.connection.password";</v>
      </c>
    </row>
    <row r="10" spans="1:2" hidden="1" x14ac:dyDescent="0.35">
      <c r="A10" t="str">
        <f>'Property-Definition'!A10</f>
        <v>DB.FACTORIES</v>
      </c>
      <c r="B10" t="str">
        <f>"public final static String "&amp; UPPER(SUBSTITUTE('Property-Definition'!D10,".","_"))&amp;" = "&amp; CHAR(34) &amp; 'Property-Definition'!D10 &amp; CHAR(34)&amp; ";"</f>
        <v>public final static String FACTORY[X] = "factory[X]";</v>
      </c>
    </row>
    <row r="11" spans="1:2" hidden="1" x14ac:dyDescent="0.35">
      <c r="A11" t="str">
        <f>'Property-Definition'!A11</f>
        <v>DB.FACTORIES</v>
      </c>
      <c r="B11" t="str">
        <f>"public final static String "&amp; UPPER(SUBSTITUTE('Property-Definition'!D11,".","_"))&amp;" = "&amp; CHAR(34) &amp; 'Property-Definition'!D11 &amp; CHAR(34)&amp; ";"</f>
        <v>public final static String FACTORY[X]_STATE = "factory[X].state";</v>
      </c>
    </row>
    <row r="12" spans="1:2" hidden="1" x14ac:dyDescent="0.35">
      <c r="A12" t="str">
        <f>'Property-Definition'!A12</f>
        <v>DB.DERBY.NETWORKSERVER</v>
      </c>
      <c r="B12" t="str">
        <f>"public final static String "&amp; UPPER(SUBSTITUTE('Property-Definition'!D12,".","_"))&amp;" = "&amp; CHAR(34) &amp; 'Property-Definition'!D12 &amp; CHAR(34)&amp; ";"</f>
        <v>public final static String ISSTARTDERBYNETWORKSERVER = "isStartDerbyNetworkServer";</v>
      </c>
    </row>
    <row r="13" spans="1:2" hidden="1" x14ac:dyDescent="0.35">
      <c r="A13" t="str">
        <f>'Property-Definition'!A13</f>
        <v>DB.DERBY.NETWORKSERVER</v>
      </c>
      <c r="B13" t="str">
        <f>"public final static String "&amp; UPPER(SUBSTITUTE('Property-Definition'!D13,".","_"))&amp;" = "&amp; CHAR(34) &amp; 'Property-Definition'!D13 &amp; CHAR(34)&amp; ";"</f>
        <v>public final static String HOST-IP = "host-IP";</v>
      </c>
    </row>
    <row r="14" spans="1:2" hidden="1" x14ac:dyDescent="0.35">
      <c r="A14" t="str">
        <f>'Property-Definition'!A14</f>
        <v>DB.DERBY.NETWORKSERVER</v>
      </c>
      <c r="B14" t="str">
        <f>"public final static String "&amp; UPPER(SUBSTITUTE('Property-Definition'!D14,".","_"))&amp;" = "&amp; CHAR(34) &amp; 'Property-Definition'!D14 &amp; CHAR(34)&amp; ";"</f>
        <v>public final static String PORT = "port";</v>
      </c>
    </row>
    <row r="15" spans="1:2" hidden="1" x14ac:dyDescent="0.35">
      <c r="A15" t="str">
        <f>'Property-Definition'!A15</f>
        <v>DB.DERBY.NETWORKSERVER</v>
      </c>
      <c r="B15" t="str">
        <f>"public final static String "&amp; UPPER(SUBSTITUTE('Property-Definition'!D15,".","_"))&amp;" = "&amp; CHAR(34) &amp; 'Property-Definition'!D15 &amp; CHAR(34)&amp; ";"</f>
        <v>public final static String USERNAME = "userName";</v>
      </c>
    </row>
    <row r="16" spans="1:2" hidden="1" x14ac:dyDescent="0.35">
      <c r="A16" t="str">
        <f>'Property-Definition'!A16</f>
        <v>DB.DERBY.NETWORKSERVER</v>
      </c>
      <c r="B16" t="str">
        <f>"public final static String "&amp; UPPER(SUBSTITUTE('Property-Definition'!D16,".","_"))&amp;" = "&amp; CHAR(34) &amp; 'Property-Definition'!D16 &amp; CHAR(34)&amp; ";"</f>
        <v>public final static String PASSWORD = "password";</v>
      </c>
    </row>
    <row r="17" spans="1:2" hidden="1" x14ac:dyDescent="0.35">
      <c r="A17" t="str">
        <f>'Property-Definition'!A17</f>
        <v>DB.CONN.GENERAL</v>
      </c>
      <c r="B17" t="str">
        <f>"public final static String "&amp; UPPER(SUBSTITUTE('Property-Definition'!D17,".","_"))&amp;" = "&amp; CHAR(34) &amp; 'Property-Definition'!D17 &amp; CHAR(34)&amp; ";"</f>
        <v>public final static String USEFOREVERYFACTORY = "useForEveryFactory";</v>
      </c>
    </row>
    <row r="18" spans="1:2" hidden="1" x14ac:dyDescent="0.35">
      <c r="A18" t="str">
        <f>'Property-Definition'!A18</f>
        <v>DB.CONN.GENERAL</v>
      </c>
      <c r="B18" t="str">
        <f>"public final static String "&amp; UPPER(SUBSTITUTE('Property-Definition'!D18,".","_"))&amp;" = "&amp; CHAR(34) &amp; 'Property-Definition'!D18 &amp; CHAR(34)&amp; ";"</f>
        <v>public final static String DBSYSTEM = "dbSystem";</v>
      </c>
    </row>
    <row r="19" spans="1:2" hidden="1" x14ac:dyDescent="0.35">
      <c r="A19" t="str">
        <f>'Property-Definition'!A19</f>
        <v>DB.CONN.GENERAL</v>
      </c>
      <c r="B19" t="str">
        <f>"public final static String "&amp; UPPER(SUBSTITUTE('Property-Definition'!D19,".","_"))&amp;" = "&amp; CHAR(34) &amp; 'Property-Definition'!D19 &amp; CHAR(34)&amp; ";"</f>
        <v>public final static String HIBERNATE_CONNECTION_DRIVER_CLASS = "hibernate.connection.driver_class";</v>
      </c>
    </row>
    <row r="20" spans="1:2" hidden="1" x14ac:dyDescent="0.35">
      <c r="A20" t="str">
        <f>'Property-Definition'!A20</f>
        <v>DB.CONN.GENERAL</v>
      </c>
      <c r="B20" t="str">
        <f>"public final static String "&amp; UPPER(SUBSTITUTE('Property-Definition'!D20,".","_"))&amp;" = "&amp; CHAR(34) &amp; 'Property-Definition'!D20 &amp; CHAR(34)&amp; ";"</f>
        <v>public final static String HIBERNATE_CONNECTION_URL = "hibernate.connection.url";</v>
      </c>
    </row>
    <row r="21" spans="1:2" hidden="1" x14ac:dyDescent="0.35">
      <c r="A21" t="str">
        <f>'Property-Definition'!A21</f>
        <v>DB.CONN.GENERAL</v>
      </c>
      <c r="B21" t="str">
        <f>"public final static String "&amp; UPPER(SUBSTITUTE('Property-Definition'!D21,".","_"))&amp;" = "&amp; CHAR(34) &amp; 'Property-Definition'!D21 &amp; CHAR(34)&amp; ";"</f>
        <v>public final static String HIBERNATE_DEFAULT_CATALOG = "hibernate.default_catalog";</v>
      </c>
    </row>
    <row r="22" spans="1:2" hidden="1" x14ac:dyDescent="0.35">
      <c r="A22" t="str">
        <f>'Property-Definition'!A22</f>
        <v>DB.CONN.GENERAL</v>
      </c>
      <c r="B22" t="str">
        <f>"public final static String "&amp; UPPER(SUBSTITUTE('Property-Definition'!D22,".","_"))&amp;" = "&amp; CHAR(34) &amp; 'Property-Definition'!D22 &amp; CHAR(34)&amp; ";"</f>
        <v>public final static String HIBERNATE_CONNECTION_USERNAME = "hibernate.connection.username";</v>
      </c>
    </row>
    <row r="23" spans="1:2" hidden="1" x14ac:dyDescent="0.35">
      <c r="A23" t="str">
        <f>'Property-Definition'!A23</f>
        <v>DB.CONN.GENERAL</v>
      </c>
      <c r="B23" t="str">
        <f>"public final static String "&amp; UPPER(SUBSTITUTE('Property-Definition'!D23,".","_"))&amp;" = "&amp; CHAR(34) &amp; 'Property-Definition'!D23 &amp; CHAR(34)&amp; ";"</f>
        <v>public final static String HIBERNATE_CONNECTION_PASSWORD = "hibernate.connection.password";</v>
      </c>
    </row>
    <row r="24" spans="1:2" hidden="1" x14ac:dyDescent="0.35">
      <c r="A24" t="str">
        <f>'Property-Definition'!A24</f>
        <v>DB.CONN.FACTORY.GET</v>
      </c>
      <c r="B24" t="str">
        <f>"public final static String "&amp; UPPER(SUBSTITUTE('Property-Definition'!D24,".","_"))&amp;" = "&amp; CHAR(34) &amp; 'Property-Definition'!D24 &amp; CHAR(34)&amp; ";"</f>
        <v>public final static String FACTORY[X]_FACTORYID = "factory[X].factoryID";</v>
      </c>
    </row>
    <row r="25" spans="1:2" hidden="1" x14ac:dyDescent="0.35">
      <c r="A25" t="str">
        <f>'Property-Definition'!A25</f>
        <v>DB.CONN.FACTORY.GET</v>
      </c>
      <c r="B25" t="str">
        <f>"public final static String "&amp; UPPER(SUBSTITUTE('Property-Definition'!D25,".","_"))&amp;" = "&amp; CHAR(34) &amp; 'Property-Definition'!D25 &amp; CHAR(34)&amp; ";"</f>
        <v>public final static String FACTORY[X]_DBSYSTEM = "factory[X].dbSystem";</v>
      </c>
    </row>
    <row r="26" spans="1:2" hidden="1" x14ac:dyDescent="0.35">
      <c r="A26" t="str">
        <f>'Property-Definition'!A26</f>
        <v>DB.CONN.FACTORY.GET</v>
      </c>
      <c r="B26" t="str">
        <f>"public final static String "&amp; UPPER(SUBSTITUTE('Property-Definition'!D26,".","_"))&amp;" = "&amp; CHAR(34) &amp; 'Property-Definition'!D26 &amp; CHAR(34)&amp; ";"</f>
        <v>public final static String FACTORY[X]_HIBERNATE_CONNECTION_DRIVER_CLASS = "factory[X].hibernate.connection.driver_class";</v>
      </c>
    </row>
    <row r="27" spans="1:2" hidden="1" x14ac:dyDescent="0.35">
      <c r="A27" t="str">
        <f>'Property-Definition'!A27</f>
        <v>DB.CONN.FACTORY.GET</v>
      </c>
      <c r="B27" t="str">
        <f>"public final static String "&amp; UPPER(SUBSTITUTE('Property-Definition'!D27,".","_"))&amp;" = "&amp; CHAR(34) &amp; 'Property-Definition'!D27 &amp; CHAR(34)&amp; ";"</f>
        <v>public final static String FACTORY[X]_HIBERNATE_CONNECTION_URL = "factory[X].hibernate.connection.url";</v>
      </c>
    </row>
    <row r="28" spans="1:2" hidden="1" x14ac:dyDescent="0.35">
      <c r="A28" t="str">
        <f>'Property-Definition'!A28</f>
        <v>DB.CONN.FACTORY.GET</v>
      </c>
      <c r="B28" t="str">
        <f>"public final static String "&amp; UPPER(SUBSTITUTE('Property-Definition'!D28,".","_"))&amp;" = "&amp; CHAR(34) &amp; 'Property-Definition'!D28 &amp; CHAR(34)&amp; ";"</f>
        <v>public final static String FACTORY[X]_HIBERNATE_DEFAULT_CATALOG = "factory[X].hibernate.default_catalog";</v>
      </c>
    </row>
    <row r="29" spans="1:2" hidden="1" x14ac:dyDescent="0.35">
      <c r="A29" t="str">
        <f>'Property-Definition'!A29</f>
        <v>DB.CONN.FACTORY.GET</v>
      </c>
      <c r="B29" t="str">
        <f>"public final static String "&amp; UPPER(SUBSTITUTE('Property-Definition'!D29,".","_"))&amp;" = "&amp; CHAR(34) &amp; 'Property-Definition'!D29 &amp; CHAR(34)&amp; ";"</f>
        <v>public final static String FACTORY[X]_HIBERNATE_CONNECTION_USERNAME = "factory[X].hibernate.connection.username";</v>
      </c>
    </row>
    <row r="30" spans="1:2" hidden="1" x14ac:dyDescent="0.35">
      <c r="A30" t="str">
        <f>'Property-Definition'!A30</f>
        <v>DB.CONN.FACTORY.GET</v>
      </c>
      <c r="B30" t="str">
        <f>"public final static String "&amp; UPPER(SUBSTITUTE('Property-Definition'!D30,".","_"))&amp;" = "&amp; CHAR(34) &amp; 'Property-Definition'!D30 &amp; CHAR(34)&amp; ";"</f>
        <v>public final static String FACTORY[X]_HIBERNATE_CONNECTION_PASSWORD = "factory[X].hibernate.connection.password";</v>
      </c>
    </row>
    <row r="31" spans="1:2" hidden="1" x14ac:dyDescent="0.35">
      <c r="A31" t="str">
        <f>'Property-Definition'!A31</f>
        <v>DB.CONN.FACTORY.SET</v>
      </c>
      <c r="B31" t="str">
        <f>"public final static String "&amp; UPPER(SUBSTITUTE('Property-Definition'!D31,".","_"))&amp;" = "&amp; CHAR(34) &amp; 'Property-Definition'!D31 &amp; CHAR(34)&amp; ";"</f>
        <v>public final static String FACTORYID = "factoryID";</v>
      </c>
    </row>
    <row r="32" spans="1:2" hidden="1" x14ac:dyDescent="0.35">
      <c r="A32" t="str">
        <f>'Property-Definition'!A32</f>
        <v>DB.CONN.FACTORY.SET</v>
      </c>
      <c r="B32" t="str">
        <f>"public final static String "&amp; UPPER(SUBSTITUTE('Property-Definition'!D32,".","_"))&amp;" = "&amp; CHAR(34) &amp; 'Property-Definition'!D32 &amp; CHAR(34)&amp; ";"</f>
        <v>public final static String DBSYSTEM = "dbSystem";</v>
      </c>
    </row>
    <row r="33" spans="1:2" hidden="1" x14ac:dyDescent="0.35">
      <c r="A33" t="str">
        <f>'Property-Definition'!A33</f>
        <v>DB.CONN.FACTORY.SET</v>
      </c>
      <c r="B33" t="str">
        <f>"public final static String "&amp; UPPER(SUBSTITUTE('Property-Definition'!D33,".","_"))&amp;" = "&amp; CHAR(34) &amp; 'Property-Definition'!D33 &amp; CHAR(34)&amp; ";"</f>
        <v>public final static String HIBERNATE_CONNECTION_DRIVER_CLASS = "hibernate.connection.driver_class";</v>
      </c>
    </row>
    <row r="34" spans="1:2" hidden="1" x14ac:dyDescent="0.35">
      <c r="A34" t="str">
        <f>'Property-Definition'!A34</f>
        <v>DB.CONN.FACTORY.SET</v>
      </c>
      <c r="B34" t="str">
        <f>"public final static String "&amp; UPPER(SUBSTITUTE('Property-Definition'!D34,".","_"))&amp;" = "&amp; CHAR(34) &amp; 'Property-Definition'!D34 &amp; CHAR(34)&amp; ";"</f>
        <v>public final static String HIBERNATE_CONNECTION_URL = "hibernate.connection.url";</v>
      </c>
    </row>
    <row r="35" spans="1:2" hidden="1" x14ac:dyDescent="0.35">
      <c r="A35" t="str">
        <f>'Property-Definition'!A35</f>
        <v>DB.CONN.FACTORY.SET</v>
      </c>
      <c r="B35" t="str">
        <f>"public final static String "&amp; UPPER(SUBSTITUTE('Property-Definition'!D35,".","_"))&amp;" = "&amp; CHAR(34) &amp; 'Property-Definition'!D35 &amp; CHAR(34)&amp; ";"</f>
        <v>public final static String HIBERNATE_DEFAULT_CATALOG = "hibernate.default_catalog";</v>
      </c>
    </row>
    <row r="36" spans="1:2" hidden="1" x14ac:dyDescent="0.35">
      <c r="A36" t="str">
        <f>'Property-Definition'!A36</f>
        <v>DB.CONN.FACTORY.SET</v>
      </c>
      <c r="B36" t="str">
        <f>"public final static String "&amp; UPPER(SUBSTITUTE('Property-Definition'!D36,".","_"))&amp;" = "&amp; CHAR(34) &amp; 'Property-Definition'!D36 &amp; CHAR(34)&amp; ";"</f>
        <v>public final static String HIBERNATE_CONNECTION_USERNAME = "hibernate.connection.username";</v>
      </c>
    </row>
    <row r="37" spans="1:2" hidden="1" x14ac:dyDescent="0.35">
      <c r="A37" t="str">
        <f>'Property-Definition'!A37</f>
        <v>DB.CONN.FACTORY.SET</v>
      </c>
      <c r="B37" t="str">
        <f>"public final static String "&amp; UPPER(SUBSTITUTE('Property-Definition'!D37,".","_"))&amp;" = "&amp; CHAR(34) &amp; 'Property-Definition'!D37 &amp; CHAR(34)&amp; ";"</f>
        <v>public final static String HIBERNATE_CONNECTION_PASSWORD = "hibernate.connection.password";</v>
      </c>
    </row>
    <row r="38" spans="1:2" hidden="1" x14ac:dyDescent="0.35">
      <c r="A38" t="str">
        <f>'Property-Definition'!A38</f>
        <v>DB.CONN.TEST</v>
      </c>
      <c r="B38" t="str">
        <f>"public final static String "&amp; UPPER(SUBSTITUTE('Property-Definition'!D38,".","_"))&amp;" = "&amp; CHAR(34) &amp; 'Property-Definition'!D38 &amp; CHAR(34)&amp; ";"</f>
        <v>public final static String DBSYSTEM = "dbSystem";</v>
      </c>
    </row>
    <row r="39" spans="1:2" hidden="1" x14ac:dyDescent="0.35">
      <c r="A39" t="str">
        <f>'Property-Definition'!A39</f>
        <v>DB.CONN.TEST</v>
      </c>
      <c r="B39" t="str">
        <f>"public final static String "&amp; UPPER(SUBSTITUTE('Property-Definition'!D39,".","_"))&amp;" = "&amp; CHAR(34) &amp; 'Property-Definition'!D39 &amp; CHAR(34)&amp; ";"</f>
        <v>public final static String HIBERNATE_CONNECTION_DRIVER_CLASS = "hibernate.connection.driver_class";</v>
      </c>
    </row>
    <row r="40" spans="1:2" hidden="1" x14ac:dyDescent="0.35">
      <c r="A40" t="str">
        <f>'Property-Definition'!A40</f>
        <v>DB.CONN.TEST</v>
      </c>
      <c r="B40" t="str">
        <f>"public final static String "&amp; UPPER(SUBSTITUTE('Property-Definition'!D40,".","_"))&amp;" = "&amp; CHAR(34) &amp; 'Property-Definition'!D40 &amp; CHAR(34)&amp; ";"</f>
        <v>public final static String HIBERNATE_CONNECTION_URL = "hibernate.connection.url";</v>
      </c>
    </row>
    <row r="41" spans="1:2" hidden="1" x14ac:dyDescent="0.35">
      <c r="A41" t="str">
        <f>'Property-Definition'!A41</f>
        <v>DB.CONN.TEST</v>
      </c>
      <c r="B41" t="str">
        <f>"public final static String "&amp; UPPER(SUBSTITUTE('Property-Definition'!D41,".","_"))&amp;" = "&amp; CHAR(34) &amp; 'Property-Definition'!D41 &amp; CHAR(34)&amp; ";"</f>
        <v>public final static String HIBERNATE_DEFAULT_CATALOG = "hibernate.default_catalog";</v>
      </c>
    </row>
    <row r="42" spans="1:2" hidden="1" x14ac:dyDescent="0.35">
      <c r="A42" t="str">
        <f>'Property-Definition'!A42</f>
        <v>DB.CONN.TEST</v>
      </c>
      <c r="B42" t="str">
        <f>"public final static String "&amp; UPPER(SUBSTITUTE('Property-Definition'!D42,".","_"))&amp;" = "&amp; CHAR(34) &amp; 'Property-Definition'!D42 &amp; CHAR(34)&amp; ";"</f>
        <v>public final static String HIBERNATE_CONNECTION_USERNAME = "hibernate.connection.username";</v>
      </c>
    </row>
    <row r="43" spans="1:2" hidden="1" x14ac:dyDescent="0.35">
      <c r="A43" t="str">
        <f>'Property-Definition'!A43</f>
        <v>DB.CONN.TEST</v>
      </c>
      <c r="B43" t="str">
        <f>"public final static String "&amp; UPPER(SUBSTITUTE('Property-Definition'!D43,".","_"))&amp;" = "&amp; CHAR(34) &amp; 'Property-Definition'!D43 &amp; CHAR(34)&amp; ";"</f>
        <v>public final static String HIBERNATE_CONNECTION_PASSWORD = "hibernate.connection.password";</v>
      </c>
    </row>
    <row r="44" spans="1:2" x14ac:dyDescent="0.35">
      <c r="A44" t="str">
        <f>'Property-Definition'!A2</f>
        <v>DB.SYSTEMS</v>
      </c>
      <c r="B44" t="str">
        <f>"public final static String "
&amp; UPPER(
    SUBSTITUTE(
        SUBSTITUTE('Property-Definition'!D2,"[X]",""),".","_")
)
&amp; "="
&amp; CHAR(34)
&amp; 'Property-Definition'!D2
&amp; CHAR(34)
&amp; ";"</f>
        <v>public final static String DBSYSTEM="dbSystem[X]";</v>
      </c>
    </row>
    <row r="45" spans="1:2" x14ac:dyDescent="0.35">
      <c r="A45" t="str">
        <f>'Property-Definition'!A3</f>
        <v>DB.SYSTEMS.PARAMETER</v>
      </c>
      <c r="B45" t="str">
        <f>"public final static String "
&amp; UPPER(
    SUBSTITUTE(
        SUBSTITUTE('Property-Definition'!D3,"[X]",""),".","_")
)
&amp; "="
&amp; CHAR(34)
&amp; 'Property-Definition'!D3
&amp; CHAR(34)
&amp; ";"</f>
        <v>public final static String DBSYSTEM="dbSystem[X]";</v>
      </c>
    </row>
    <row r="46" spans="1:2" x14ac:dyDescent="0.35">
      <c r="A46" t="str">
        <f>'Property-Definition'!A4</f>
        <v>DB.SYSTEMS.PARAMETER</v>
      </c>
      <c r="B46" t="str">
        <f>"public final static String "
&amp; UPPER(
    SUBSTITUTE(
        SUBSTITUTE('Property-Definition'!D4,"[X]",""),".","_")
)
&amp; "="
&amp; CHAR(34)
&amp; 'Property-Definition'!D4
&amp; CHAR(34)
&amp; ";"</f>
        <v>public final static String DBSYSTEM_HIBERNATE_CONNECTION_DRIVER_CLASS="dbSystem[X].hibernate.connection.driver_class";</v>
      </c>
    </row>
    <row r="47" spans="1:2" x14ac:dyDescent="0.35">
      <c r="A47" t="str">
        <f>'Property-Definition'!A5</f>
        <v>DB.SYSTEMS.PARAMETER</v>
      </c>
      <c r="B47" t="str">
        <f>"public final static String "
&amp; UPPER(
    SUBSTITUTE(
        SUBSTITUTE('Property-Definition'!D5,"[X]",""),".","_")
)
&amp; "="
&amp; CHAR(34)
&amp; 'Property-Definition'!D5
&amp; CHAR(34)
&amp; ";"</f>
        <v>public final static String DBSYSTEM_HIBERNATE_CONNECTION_URL="dbSystem[X].hibernate.connection.url";</v>
      </c>
    </row>
    <row r="48" spans="1:2" x14ac:dyDescent="0.35">
      <c r="A48" t="str">
        <f>'Property-Definition'!A6</f>
        <v>DB.SYSTEMS.PARAMETER</v>
      </c>
      <c r="B48" t="str">
        <f>"public final static String "
&amp; UPPER(
    SUBSTITUTE(
        SUBSTITUTE('Property-Definition'!D6,"[X]",""),".","_")
)
&amp; "="
&amp; CHAR(34)
&amp; 'Property-Definition'!D6
&amp; CHAR(34)
&amp; ";"</f>
        <v>public final static String DBSYSTEM_HIBERNATE_CONNECTION_URL_MASK="dbSystem[X].hibernate.connection.url.mask";</v>
      </c>
    </row>
    <row r="49" spans="1:2" x14ac:dyDescent="0.35">
      <c r="A49" t="str">
        <f>'Property-Definition'!A7</f>
        <v>DB.SYSTEMS.PARAMETER</v>
      </c>
      <c r="B49" t="str">
        <f>"public final static String "
&amp; UPPER(
    SUBSTITUTE(
        SUBSTITUTE('Property-Definition'!D7,"[X]",""),".","_")
)
&amp; "="
&amp; CHAR(34)
&amp; 'Property-Definition'!D7
&amp; CHAR(34)
&amp; ";"</f>
        <v>public final static String DBSYSTEM_HIBERNATE_DEFAULT_CATALOG="dbSystem[X].hibernate.default_catalog";</v>
      </c>
    </row>
    <row r="50" spans="1:2" x14ac:dyDescent="0.35">
      <c r="A50" t="str">
        <f>'Property-Definition'!A8</f>
        <v>DB.SYSTEMS.PARAMETER</v>
      </c>
      <c r="B50" t="str">
        <f>"public final static String "
&amp; UPPER(
    SUBSTITUTE(
        SUBSTITUTE('Property-Definition'!D8,"[X]",""),".","_")
)
&amp; "="
&amp; CHAR(34)
&amp; 'Property-Definition'!D8
&amp; CHAR(34)
&amp; ";"</f>
        <v>public final static String DBSYSTEM_HIBERNATE_CONNECTION_USERNAME="dbSystem[X].hibernate.connection.username";</v>
      </c>
    </row>
    <row r="51" spans="1:2" x14ac:dyDescent="0.35">
      <c r="A51" t="str">
        <f>'Property-Definition'!A9</f>
        <v>DB.SYSTEMS.PARAMETER</v>
      </c>
      <c r="B51" t="str">
        <f>"public final static String "
&amp; UPPER(
    SUBSTITUTE(
        SUBSTITUTE('Property-Definition'!D9,"[X]",""),".","_")
)
&amp; "="
&amp; CHAR(34)
&amp; 'Property-Definition'!D9
&amp; CHAR(34)
&amp; ";"</f>
        <v>public final static String DBSYSTEM_HIBERNATE_CONNECTION_PASSWORD="dbSystem[X].hibernate.connection.password";</v>
      </c>
    </row>
    <row r="52" spans="1:2" x14ac:dyDescent="0.35">
      <c r="A52" t="str">
        <f>'Property-Definition'!A10</f>
        <v>DB.FACTORIES</v>
      </c>
      <c r="B52" t="str">
        <f>"public final static String "
&amp; UPPER(
    SUBSTITUTE(
        SUBSTITUTE('Property-Definition'!D10,"[X]",""),".","_")
)
&amp; "="
&amp; CHAR(34)
&amp; 'Property-Definition'!D10
&amp; CHAR(34)
&amp; ";"</f>
        <v>public final static String FACTORY="factory[X]";</v>
      </c>
    </row>
    <row r="53" spans="1:2" x14ac:dyDescent="0.35">
      <c r="A53" t="str">
        <f>'Property-Definition'!A11</f>
        <v>DB.FACTORIES</v>
      </c>
      <c r="B53" t="str">
        <f>"public final static String "
&amp; UPPER(
    SUBSTITUTE(
        SUBSTITUTE('Property-Definition'!D11,"[X]",""),".","_")
)
&amp; "="
&amp; CHAR(34)
&amp; 'Property-Definition'!D11
&amp; CHAR(34)
&amp; ";"</f>
        <v>public final static String FACTORY_STATE="factory[X].state";</v>
      </c>
    </row>
    <row r="54" spans="1:2" x14ac:dyDescent="0.35">
      <c r="A54" t="str">
        <f>'Property-Definition'!A12</f>
        <v>DB.DERBY.NETWORKSERVER</v>
      </c>
      <c r="B54" t="str">
        <f>"public final static String "
&amp; UPPER(
    SUBSTITUTE(
        SUBSTITUTE('Property-Definition'!D12,"[X]",""),".","_")
)
&amp; "="
&amp; CHAR(34)
&amp; 'Property-Definition'!D12
&amp; CHAR(34)
&amp; ";"</f>
        <v>public final static String ISSTARTDERBYNETWORKSERVER="isStartDerbyNetworkServer";</v>
      </c>
    </row>
    <row r="55" spans="1:2" x14ac:dyDescent="0.35">
      <c r="A55" t="str">
        <f>'Property-Definition'!A13</f>
        <v>DB.DERBY.NETWORKSERVER</v>
      </c>
      <c r="B55" t="str">
        <f>"public final static String "
&amp; UPPER(
    SUBSTITUTE(
        SUBSTITUTE('Property-Definition'!D13,"[X]",""),".","_")
)
&amp; "="
&amp; CHAR(34)
&amp; 'Property-Definition'!D13
&amp; CHAR(34)
&amp; ";"</f>
        <v>public final static String HOST-IP="host-IP";</v>
      </c>
    </row>
    <row r="56" spans="1:2" x14ac:dyDescent="0.35">
      <c r="A56" t="str">
        <f>'Property-Definition'!A14</f>
        <v>DB.DERBY.NETWORKSERVER</v>
      </c>
      <c r="B56" t="str">
        <f>"public final static String "
&amp; UPPER(
    SUBSTITUTE(
        SUBSTITUTE('Property-Definition'!D14,"[X]",""),".","_")
)
&amp; "="
&amp; CHAR(34)
&amp; 'Property-Definition'!D14
&amp; CHAR(34)
&amp; ";"</f>
        <v>public final static String PORT="port";</v>
      </c>
    </row>
    <row r="57" spans="1:2" x14ac:dyDescent="0.35">
      <c r="A57" t="str">
        <f>'Property-Definition'!A15</f>
        <v>DB.DERBY.NETWORKSERVER</v>
      </c>
      <c r="B57" t="str">
        <f>"public final static String "
&amp; UPPER(
    SUBSTITUTE(
        SUBSTITUTE('Property-Definition'!D15,"[X]",""),".","_")
)
&amp; "="
&amp; CHAR(34)
&amp; 'Property-Definition'!D15
&amp; CHAR(34)
&amp; ";"</f>
        <v>public final static String USERNAME="userName";</v>
      </c>
    </row>
    <row r="58" spans="1:2" x14ac:dyDescent="0.35">
      <c r="A58" t="str">
        <f>'Property-Definition'!A16</f>
        <v>DB.DERBY.NETWORKSERVER</v>
      </c>
      <c r="B58" t="str">
        <f>"public final static String "
&amp; UPPER(
    SUBSTITUTE(
        SUBSTITUTE('Property-Definition'!D16,"[X]",""),".","_")
)
&amp; "="
&amp; CHAR(34)
&amp; 'Property-Definition'!D16
&amp; CHAR(34)
&amp; ";"</f>
        <v>public final static String PASSWORD="password";</v>
      </c>
    </row>
    <row r="59" spans="1:2" x14ac:dyDescent="0.35">
      <c r="A59" t="str">
        <f>'Property-Definition'!A17</f>
        <v>DB.CONN.GENERAL</v>
      </c>
      <c r="B59" t="str">
        <f>"public final static String "
&amp; UPPER(
    SUBSTITUTE(
        SUBSTITUTE('Property-Definition'!D17,"[X]",""),".","_")
)
&amp; "="
&amp; CHAR(34)
&amp; 'Property-Definition'!D17
&amp; CHAR(34)
&amp; ";"</f>
        <v>public final static String USEFOREVERYFACTORY="useForEveryFactory";</v>
      </c>
    </row>
    <row r="60" spans="1:2" x14ac:dyDescent="0.35">
      <c r="A60" t="str">
        <f>'Property-Definition'!A18</f>
        <v>DB.CONN.GENERAL</v>
      </c>
      <c r="B60" t="str">
        <f>"public final static String "
&amp; UPPER(
    SUBSTITUTE(
        SUBSTITUTE('Property-Definition'!D18,"[X]",""),".","_")
)
&amp; "="
&amp; CHAR(34)
&amp; 'Property-Definition'!D18
&amp; CHAR(34)
&amp; ";"</f>
        <v>public final static String DBSYSTEM="dbSystem";</v>
      </c>
    </row>
    <row r="61" spans="1:2" x14ac:dyDescent="0.35">
      <c r="A61" t="str">
        <f>'Property-Definition'!A19</f>
        <v>DB.CONN.GENERAL</v>
      </c>
      <c r="B61" t="str">
        <f>"public final static String "
&amp; UPPER(
    SUBSTITUTE(
        SUBSTITUTE('Property-Definition'!D19,"[X]",""),".","_")
)
&amp; "="
&amp; CHAR(34)
&amp; 'Property-Definition'!D19
&amp; CHAR(34)
&amp; ";"</f>
        <v>public final static String HIBERNATE_CONNECTION_DRIVER_CLASS="hibernate.connection.driver_class";</v>
      </c>
    </row>
    <row r="62" spans="1:2" x14ac:dyDescent="0.35">
      <c r="A62" t="str">
        <f>'Property-Definition'!A20</f>
        <v>DB.CONN.GENERAL</v>
      </c>
      <c r="B62" t="str">
        <f>"public final static String "
&amp; UPPER(
    SUBSTITUTE(
        SUBSTITUTE('Property-Definition'!D20,"[X]",""),".","_")
)
&amp; "="
&amp; CHAR(34)
&amp; 'Property-Definition'!D20
&amp; CHAR(34)
&amp; ";"</f>
        <v>public final static String HIBERNATE_CONNECTION_URL="hibernate.connection.url";</v>
      </c>
    </row>
    <row r="63" spans="1:2" x14ac:dyDescent="0.35">
      <c r="A63" t="str">
        <f>'Property-Definition'!A21</f>
        <v>DB.CONN.GENERAL</v>
      </c>
      <c r="B63" t="str">
        <f>"public final static String "
&amp; UPPER(
    SUBSTITUTE(
        SUBSTITUTE('Property-Definition'!D21,"[X]",""),".","_")
)
&amp; "="
&amp; CHAR(34)
&amp; 'Property-Definition'!D21
&amp; CHAR(34)
&amp; ";"</f>
        <v>public final static String HIBERNATE_DEFAULT_CATALOG="hibernate.default_catalog";</v>
      </c>
    </row>
    <row r="64" spans="1:2" x14ac:dyDescent="0.35">
      <c r="A64" t="str">
        <f>'Property-Definition'!A22</f>
        <v>DB.CONN.GENERAL</v>
      </c>
      <c r="B64" t="str">
        <f>"public final static String "
&amp; UPPER(
    SUBSTITUTE(
        SUBSTITUTE('Property-Definition'!D22,"[X]",""),".","_")
)
&amp; "="
&amp; CHAR(34)
&amp; 'Property-Definition'!D22
&amp; CHAR(34)
&amp; ";"</f>
        <v>public final static String HIBERNATE_CONNECTION_USERNAME="hibernate.connection.username";</v>
      </c>
    </row>
    <row r="65" spans="1:2" x14ac:dyDescent="0.35">
      <c r="A65" t="str">
        <f>'Property-Definition'!A23</f>
        <v>DB.CONN.GENERAL</v>
      </c>
      <c r="B65" t="str">
        <f>"public final static String "
&amp; UPPER(
    SUBSTITUTE(
        SUBSTITUTE('Property-Definition'!D23,"[X]",""),".","_")
)
&amp; "="
&amp; CHAR(34)
&amp; 'Property-Definition'!D23
&amp; CHAR(34)
&amp; ";"</f>
        <v>public final static String HIBERNATE_CONNECTION_PASSWORD="hibernate.connection.password";</v>
      </c>
    </row>
    <row r="66" spans="1:2" x14ac:dyDescent="0.35">
      <c r="A66" t="str">
        <f>'Property-Definition'!A24</f>
        <v>DB.CONN.FACTORY.GET</v>
      </c>
      <c r="B66" t="str">
        <f>"public final static String "
&amp; UPPER(
    SUBSTITUTE(
        SUBSTITUTE('Property-Definition'!D24,"[X]",""),".","_")
)
&amp; "="
&amp; CHAR(34)
&amp; 'Property-Definition'!D24
&amp; CHAR(34)
&amp; ";"</f>
        <v>public final static String FACTORY_FACTORYID="factory[X].factoryID";</v>
      </c>
    </row>
    <row r="67" spans="1:2" x14ac:dyDescent="0.35">
      <c r="A67" t="str">
        <f>'Property-Definition'!A25</f>
        <v>DB.CONN.FACTORY.GET</v>
      </c>
      <c r="B67" t="str">
        <f>"public final static String "
&amp; UPPER(
    SUBSTITUTE(
        SUBSTITUTE('Property-Definition'!D25,"[X]",""),".","_")
)
&amp; "="
&amp; CHAR(34)
&amp; 'Property-Definition'!D25
&amp; CHAR(34)
&amp; ";"</f>
        <v>public final static String FACTORY_DBSYSTEM="factory[X].dbSystem";</v>
      </c>
    </row>
    <row r="68" spans="1:2" x14ac:dyDescent="0.35">
      <c r="A68" t="str">
        <f>'Property-Definition'!A26</f>
        <v>DB.CONN.FACTORY.GET</v>
      </c>
      <c r="B68" t="str">
        <f>"public final static String "
&amp; UPPER(
    SUBSTITUTE(
        SUBSTITUTE('Property-Definition'!D26,"[X]",""),".","_")
)
&amp; "="
&amp; CHAR(34)
&amp; 'Property-Definition'!D26
&amp; CHAR(34)
&amp; ";"</f>
        <v>public final static String FACTORY_HIBERNATE_CONNECTION_DRIVER_CLASS="factory[X].hibernate.connection.driver_class";</v>
      </c>
    </row>
    <row r="69" spans="1:2" x14ac:dyDescent="0.35">
      <c r="A69" t="str">
        <f>'Property-Definition'!A27</f>
        <v>DB.CONN.FACTORY.GET</v>
      </c>
      <c r="B69" t="str">
        <f>"public final static String "
&amp; UPPER(
    SUBSTITUTE(
        SUBSTITUTE('Property-Definition'!D27,"[X]",""),".","_")
)
&amp; "="
&amp; CHAR(34)
&amp; 'Property-Definition'!D27
&amp; CHAR(34)
&amp; ";"</f>
        <v>public final static String FACTORY_HIBERNATE_CONNECTION_URL="factory[X].hibernate.connection.url";</v>
      </c>
    </row>
    <row r="70" spans="1:2" x14ac:dyDescent="0.35">
      <c r="A70" t="str">
        <f>'Property-Definition'!A28</f>
        <v>DB.CONN.FACTORY.GET</v>
      </c>
      <c r="B70" t="str">
        <f>"public final static String "
&amp; UPPER(
    SUBSTITUTE(
        SUBSTITUTE('Property-Definition'!D28,"[X]",""),".","_")
)
&amp; "="
&amp; CHAR(34)
&amp; 'Property-Definition'!D28
&amp; CHAR(34)
&amp; ";"</f>
        <v>public final static String FACTORY_HIBERNATE_DEFAULT_CATALOG="factory[X].hibernate.default_catalog";</v>
      </c>
    </row>
    <row r="71" spans="1:2" x14ac:dyDescent="0.35">
      <c r="A71" t="str">
        <f>'Property-Definition'!A29</f>
        <v>DB.CONN.FACTORY.GET</v>
      </c>
      <c r="B71" t="str">
        <f>"public final static String "
&amp; UPPER(
    SUBSTITUTE(
        SUBSTITUTE('Property-Definition'!D29,"[X]",""),".","_")
)
&amp; "="
&amp; CHAR(34)
&amp; 'Property-Definition'!D29
&amp; CHAR(34)
&amp; ";"</f>
        <v>public final static String FACTORY_HIBERNATE_CONNECTION_USERNAME="factory[X].hibernate.connection.username";</v>
      </c>
    </row>
    <row r="72" spans="1:2" x14ac:dyDescent="0.35">
      <c r="A72" t="str">
        <f>'Property-Definition'!A30</f>
        <v>DB.CONN.FACTORY.GET</v>
      </c>
      <c r="B72" t="str">
        <f>"public final static String "
&amp; UPPER(
    SUBSTITUTE(
        SUBSTITUTE('Property-Definition'!D30,"[X]",""),".","_")
)
&amp; "="
&amp; CHAR(34)
&amp; 'Property-Definition'!D30
&amp; CHAR(34)
&amp; ";"</f>
        <v>public final static String FACTORY_HIBERNATE_CONNECTION_PASSWORD="factory[X].hibernate.connection.password";</v>
      </c>
    </row>
    <row r="73" spans="1:2" x14ac:dyDescent="0.35">
      <c r="A73" t="str">
        <f>'Property-Definition'!A31</f>
        <v>DB.CONN.FACTORY.SET</v>
      </c>
      <c r="B73" t="str">
        <f>"public final static String "
&amp; UPPER(
    SUBSTITUTE(
        SUBSTITUTE('Property-Definition'!D31,"[X]",""),".","_")
)
&amp; "="
&amp; CHAR(34)
&amp; 'Property-Definition'!D31
&amp; CHAR(34)
&amp; ";"</f>
        <v>public final static String FACTORYID="factoryID";</v>
      </c>
    </row>
    <row r="74" spans="1:2" x14ac:dyDescent="0.35">
      <c r="A74" t="str">
        <f>'Property-Definition'!A32</f>
        <v>DB.CONN.FACTORY.SET</v>
      </c>
      <c r="B74" t="str">
        <f>"public final static String "
&amp; UPPER(
    SUBSTITUTE(
        SUBSTITUTE('Property-Definition'!D32,"[X]",""),".","_")
)
&amp; "="
&amp; CHAR(34)
&amp; 'Property-Definition'!D32
&amp; CHAR(34)
&amp; ";"</f>
        <v>public final static String DBSYSTEM="dbSystem";</v>
      </c>
    </row>
    <row r="75" spans="1:2" x14ac:dyDescent="0.35">
      <c r="A75" t="str">
        <f>'Property-Definition'!A33</f>
        <v>DB.CONN.FACTORY.SET</v>
      </c>
      <c r="B75" t="str">
        <f>"public final static String "
&amp; UPPER(
    SUBSTITUTE(
        SUBSTITUTE('Property-Definition'!D33,"[X]",""),".","_")
)
&amp; "="
&amp; CHAR(34)
&amp; 'Property-Definition'!D33
&amp; CHAR(34)
&amp; ";"</f>
        <v>public final static String HIBERNATE_CONNECTION_DRIVER_CLASS="hibernate.connection.driver_class";</v>
      </c>
    </row>
    <row r="76" spans="1:2" x14ac:dyDescent="0.35">
      <c r="A76" t="str">
        <f>'Property-Definition'!A34</f>
        <v>DB.CONN.FACTORY.SET</v>
      </c>
      <c r="B76" t="str">
        <f>"public final static String "
&amp; UPPER(
    SUBSTITUTE(
        SUBSTITUTE('Property-Definition'!D34,"[X]",""),".","_")
)
&amp; "="
&amp; CHAR(34)
&amp; 'Property-Definition'!D34
&amp; CHAR(34)
&amp; ";"</f>
        <v>public final static String HIBERNATE_CONNECTION_URL="hibernate.connection.url";</v>
      </c>
    </row>
    <row r="77" spans="1:2" x14ac:dyDescent="0.35">
      <c r="A77" t="str">
        <f>'Property-Definition'!A35</f>
        <v>DB.CONN.FACTORY.SET</v>
      </c>
      <c r="B77" t="str">
        <f>"public final static String "
&amp; UPPER(
    SUBSTITUTE(
        SUBSTITUTE('Property-Definition'!D35,"[X]",""),".","_")
)
&amp; "="
&amp; CHAR(34)
&amp; 'Property-Definition'!D35
&amp; CHAR(34)
&amp; ";"</f>
        <v>public final static String HIBERNATE_DEFAULT_CATALOG="hibernate.default_catalog";</v>
      </c>
    </row>
    <row r="78" spans="1:2" x14ac:dyDescent="0.35">
      <c r="A78" t="str">
        <f>'Property-Definition'!A36</f>
        <v>DB.CONN.FACTORY.SET</v>
      </c>
      <c r="B78" t="str">
        <f>"public final static String "
&amp; UPPER(
    SUBSTITUTE(
        SUBSTITUTE('Property-Definition'!D36,"[X]",""),".","_")
)
&amp; "="
&amp; CHAR(34)
&amp; 'Property-Definition'!D36
&amp; CHAR(34)
&amp; ";"</f>
        <v>public final static String HIBERNATE_CONNECTION_USERNAME="hibernate.connection.username";</v>
      </c>
    </row>
    <row r="79" spans="1:2" x14ac:dyDescent="0.35">
      <c r="A79" t="str">
        <f>'Property-Definition'!A37</f>
        <v>DB.CONN.FACTORY.SET</v>
      </c>
      <c r="B79" t="str">
        <f>"public final static String "
&amp; UPPER(
    SUBSTITUTE(
        SUBSTITUTE('Property-Definition'!D37,"[X]",""),".","_")
)
&amp; "="
&amp; CHAR(34)
&amp; 'Property-Definition'!D37
&amp; CHAR(34)
&amp; ";"</f>
        <v>public final static String HIBERNATE_CONNECTION_PASSWORD="hibernate.connection.password";</v>
      </c>
    </row>
    <row r="80" spans="1:2" x14ac:dyDescent="0.35">
      <c r="A80" t="str">
        <f>'Property-Definition'!A38</f>
        <v>DB.CONN.TEST</v>
      </c>
      <c r="B80" t="str">
        <f>"public final static String "
&amp; UPPER(
    SUBSTITUTE(
        SUBSTITUTE('Property-Definition'!D38,"[X]",""),".","_")
)
&amp; "="
&amp; CHAR(34)
&amp; 'Property-Definition'!D38
&amp; CHAR(34)
&amp; ";"</f>
        <v>public final static String DBSYSTEM="dbSystem";</v>
      </c>
    </row>
    <row r="81" spans="1:2" x14ac:dyDescent="0.35">
      <c r="A81" t="str">
        <f>'Property-Definition'!A39</f>
        <v>DB.CONN.TEST</v>
      </c>
      <c r="B81" t="str">
        <f>"public final static String "
&amp; UPPER(
    SUBSTITUTE(
        SUBSTITUTE('Property-Definition'!D39,"[X]",""),".","_")
)
&amp; "="
&amp; CHAR(34)
&amp; 'Property-Definition'!D39
&amp; CHAR(34)
&amp; ";"</f>
        <v>public final static String HIBERNATE_CONNECTION_DRIVER_CLASS="hibernate.connection.driver_class";</v>
      </c>
    </row>
    <row r="82" spans="1:2" x14ac:dyDescent="0.35">
      <c r="A82" t="str">
        <f>'Property-Definition'!A40</f>
        <v>DB.CONN.TEST</v>
      </c>
      <c r="B82" t="str">
        <f>"public final static String "
&amp; UPPER(
    SUBSTITUTE(
        SUBSTITUTE('Property-Definition'!D40,"[X]",""),".","_")
)
&amp; "="
&amp; CHAR(34)
&amp; 'Property-Definition'!D40
&amp; CHAR(34)
&amp; ";"</f>
        <v>public final static String HIBERNATE_CONNECTION_URL="hibernate.connection.url";</v>
      </c>
    </row>
    <row r="83" spans="1:2" x14ac:dyDescent="0.35">
      <c r="A83" t="str">
        <f>'Property-Definition'!A41</f>
        <v>DB.CONN.TEST</v>
      </c>
      <c r="B83" t="str">
        <f>"public final static String "
&amp; UPPER(
    SUBSTITUTE(
        SUBSTITUTE('Property-Definition'!D41,"[X]",""),".","_")
)
&amp; "="
&amp; CHAR(34)
&amp; 'Property-Definition'!D41
&amp; CHAR(34)
&amp; ";"</f>
        <v>public final static String HIBERNATE_DEFAULT_CATALOG="hibernate.default_catalog";</v>
      </c>
    </row>
    <row r="84" spans="1:2" x14ac:dyDescent="0.35">
      <c r="A84" t="str">
        <f>'Property-Definition'!A42</f>
        <v>DB.CONN.TEST</v>
      </c>
      <c r="B84" t="str">
        <f>"public final static String "
&amp; UPPER(
    SUBSTITUTE(
        SUBSTITUTE('Property-Definition'!D42,"[X]",""),".","_")
)
&amp; "="
&amp; CHAR(34)
&amp; 'Property-Definition'!D42
&amp; CHAR(34)
&amp; ";"</f>
        <v>public final static String HIBERNATE_CONNECTION_USERNAME="hibernate.connection.username";</v>
      </c>
    </row>
    <row r="85" spans="1:2" x14ac:dyDescent="0.35">
      <c r="A85" t="str">
        <f>'Property-Definition'!A43</f>
        <v>DB.CONN.TEST</v>
      </c>
      <c r="B85" t="str">
        <f>"public final static String "
&amp; UPPER(
    SUBSTITUTE(
        SUBSTITUTE('Property-Definition'!D43,"[X]",""),".","_")
)
&amp; "="
&amp; CHAR(34)
&amp; 'Property-Definition'!D43
&amp; CHAR(34)
&amp; ";"</f>
        <v>public final static String HIBERNATE_CONNECTION_PASSWORD="hibernate.connection.password";</v>
      </c>
    </row>
    <row r="86" spans="1:2" x14ac:dyDescent="0.35">
      <c r="A86" t="str">
        <f>'Property-Definition'!A44</f>
        <v>EXEC.MODE</v>
      </c>
      <c r="B86" t="str">
        <f>"public final static String "
&amp; UPPER(
    SUBSTITUTE(
        SUBSTITUTE('Property-Definition'!D44,"[X]",""),".","_")
)
&amp; "="
&amp; CHAR(34)
&amp; 'Property-Definition'!D44
&amp; CHAR(34)
&amp; ";"</f>
        <v>public final static String EXEC_MODE="exec.mode";</v>
      </c>
    </row>
    <row r="87" spans="1:2" x14ac:dyDescent="0.35">
      <c r="A87" t="str">
        <f>'Property-Definition'!A45</f>
        <v>EXEC.MODE</v>
      </c>
      <c r="B87" t="str">
        <f>"public final static String "
&amp; UPPER(
    SUBSTITUTE(
        SUBSTITUTE('Property-Definition'!D45,"[X]",""),".","_")
)
&amp; "="
&amp; CHAR(34)
&amp; 'Property-Definition'!D45
&amp; CHAR(34)
&amp; ";"</f>
        <v>public final static String SERVER_MASTER_URL="server.master.url";</v>
      </c>
    </row>
    <row r="88" spans="1:2" x14ac:dyDescent="0.35">
      <c r="A88" t="str">
        <f>'Property-Definition'!A46</f>
        <v>EXEC.MODE</v>
      </c>
      <c r="B88" t="str">
        <f>"public final static String "
&amp; UPPER(
    SUBSTITUTE(
        SUBSTITUTE('Property-Definition'!D46,"[X]",""),".","_")
)
&amp; "="
&amp; CHAR(34)
&amp; 'Property-Definition'!D46
&amp; CHAR(34)
&amp; ";"</f>
        <v>public final static String SERVER_MASTER_PORT="server.master.port";</v>
      </c>
    </row>
    <row r="89" spans="1:2" x14ac:dyDescent="0.35">
      <c r="A89" t="str">
        <f>'Property-Definition'!A47</f>
        <v>EXEC.MODE</v>
      </c>
      <c r="B89" t="str">
        <f>"public final static String "
&amp; UPPER(
    SUBSTITUTE(
        SUBSTITUTE('Property-Definition'!D47,"[X]",""),".","_")
)
&amp; "="
&amp; CHAR(34)
&amp; 'Property-Definition'!D47
&amp; CHAR(34)
&amp; ";"</f>
        <v>public final static String SERVER_MASTER_PORT_MTP="server.master.port.mtp";</v>
      </c>
    </row>
    <row r="90" spans="1:2" x14ac:dyDescent="0.35">
      <c r="A90" t="str">
        <f>'Property-Definition'!A48</f>
        <v>EXEC.MODE</v>
      </c>
      <c r="B90" t="str">
        <f>"public final static String "
&amp; UPPER(
    SUBSTITUTE(
        SUBSTITUTE('Property-Definition'!D48,"[X]",""),".","_")
)
&amp; "="
&amp; CHAR(34)
&amp; 'Property-Definition'!D48
&amp; CHAR(34)
&amp; ";"</f>
        <v>public final static String SERVER_MASTER_PROTOCOL="server.master.protocol";</v>
      </c>
    </row>
    <row r="91" spans="1:2" x14ac:dyDescent="0.35">
      <c r="A91" t="str">
        <f>'Property-Definition'!A49</f>
        <v>EXEC.MODE</v>
      </c>
      <c r="B91" t="str">
        <f>"public final static String "
&amp; UPPER(
    SUBSTITUTE(
        SUBSTITUTE('Property-Definition'!D49,"[X]",""),".","_")
)
&amp; "="
&amp; CHAR(34)
&amp; 'Property-Definition'!D49
&amp; CHAR(34)
&amp; ";"</f>
        <v>public final static String LOCAL_MTP_CREATION="local.mtp.creation";</v>
      </c>
    </row>
    <row r="92" spans="1:2" x14ac:dyDescent="0.35">
      <c r="A92" t="str">
        <f>'Property-Definition'!A50</f>
        <v>EXEC.MODE</v>
      </c>
      <c r="B92" t="str">
        <f>"public final static String "
&amp; UPPER(
    SUBSTITUTE(
        SUBSTITUTE('Property-Definition'!D50,"[X]",""),".","_")
)
&amp; "="
&amp; CHAR(34)
&amp; 'Property-Definition'!D50
&amp; CHAR(34)
&amp; ";"</f>
        <v>public final static String LOCAL_MTP_URL="local.mtp.url";</v>
      </c>
    </row>
    <row r="93" spans="1:2" x14ac:dyDescent="0.35">
      <c r="A93" t="str">
        <f>'Property-Definition'!A51</f>
        <v>EXEC.MODE</v>
      </c>
      <c r="B93" t="str">
        <f>"public final static String "
&amp; UPPER(
    SUBSTITUTE(
        SUBSTITUTE('Property-Definition'!D51,"[X]",""),".","_")
)
&amp; "="
&amp; CHAR(34)
&amp; 'Property-Definition'!D51
&amp; CHAR(34)
&amp; ";"</f>
        <v>public final static String LOCAL_MTP_PORT="local.mtp.port";</v>
      </c>
    </row>
    <row r="94" spans="1:2" x14ac:dyDescent="0.35">
      <c r="A94" t="str">
        <f>'Property-Definition'!A52</f>
        <v>EXEC.MODE</v>
      </c>
      <c r="B94" t="str">
        <f>"public final static String "
&amp; UPPER(
    SUBSTITUTE(
        SUBSTITUTE('Property-Definition'!D52,"[X]",""),".","_")
)
&amp; "="
&amp; CHAR(34)
&amp; 'Property-Definition'!D52
&amp; CHAR(34)
&amp; ";"</f>
        <v>public final static String LOCAL_MTP_PROTOCOL="local.mtp.protocol";</v>
      </c>
    </row>
    <row r="95" spans="1:2" x14ac:dyDescent="0.35">
      <c r="A95" t="str">
        <f>'Property-Definition'!A53</f>
        <v>EXEC.MODE</v>
      </c>
      <c r="B95" t="str">
        <f>"public final static String "
&amp; UPPER(
    SUBSTITUTE(
        SUBSTITUTE('Property-Definition'!D53,"[X]",""),".","_")
)
&amp; "="
&amp; CHAR(34)
&amp; 'Property-Definition'!D53
&amp; CHAR(34)
&amp; ";"</f>
        <v>public final static String EMBEDDEDSYSTEM_PROJECT="embeddedsystem.project";</v>
      </c>
    </row>
    <row r="96" spans="1:2" x14ac:dyDescent="0.35">
      <c r="A96" t="str">
        <f>'Property-Definition'!A54</f>
        <v>EXEC.MODE</v>
      </c>
      <c r="B96" t="str">
        <f>"public final static String "
&amp; UPPER(
    SUBSTITUTE(
        SUBSTITUTE('Property-Definition'!D54,"[X]",""),".","_")
)
&amp; "="
&amp; CHAR(34)
&amp; 'Property-Definition'!D54
&amp; CHAR(34)
&amp; ";"</f>
        <v>public final static String DEVICE_SYSTEM_EXEC_MODE="device_system_exec_mode";</v>
      </c>
    </row>
    <row r="97" spans="1:2" x14ac:dyDescent="0.35">
      <c r="A97" t="str">
        <f>'Property-Definition'!A55</f>
        <v>EXEC.MODE</v>
      </c>
      <c r="B97" t="str">
        <f>"public final static String "
&amp; UPPER(
    SUBSTITUTE(
        SUBSTITUTE('Property-Definition'!D55,"[X]",""),".","_")
)
&amp; "="
&amp; CHAR(34)
&amp; 'Property-Definition'!D55
&amp; CHAR(34)
&amp; ";"</f>
        <v>public final static String EMBEDDEDSYSTEM_AGENT_CLASSNAME="embeddedsystem.agent[X].classname";</v>
      </c>
    </row>
    <row r="98" spans="1:2" x14ac:dyDescent="0.35">
      <c r="A98" t="str">
        <f>'Property-Definition'!A56</f>
        <v>EXEC.MODE</v>
      </c>
      <c r="B98" t="str">
        <f>"public final static String "
&amp; UPPER(
    SUBSTITUTE(
        SUBSTITUTE('Property-Definition'!D56,"[X]",""),".","_")
)
&amp; "="
&amp; CHAR(34)
&amp; 'Property-Definition'!D56
&amp; CHAR(34)
&amp; ";"</f>
        <v>public final static String EMBEDDEDSYSTEM_AGENT_AGENTNAME="embeddedsystem.agent[X].agentname";</v>
      </c>
    </row>
    <row r="99" spans="1:2" x14ac:dyDescent="0.35">
      <c r="A99" t="str">
        <f>'Property-Definition'!A57</f>
        <v>EXEC.MODE</v>
      </c>
      <c r="B99" t="str">
        <f>"public final static String "
&amp; UPPER(
    SUBSTITUTE(
        SUBSTITUTE('Property-Definition'!D57,"[X]",""),".","_")
)
&amp; "="
&amp; CHAR(34)
&amp; 'Property-Definition'!D57
&amp; CHAR(34)
&amp; ";"</f>
        <v>public final static String SERVICE_SERVICE_SETUP="service.service_setup";</v>
      </c>
    </row>
    <row r="100" spans="1:2" x14ac:dyDescent="0.35">
      <c r="A100" t="str">
        <f>'Property-Definition'!A58</f>
        <v>EXEC.MODE</v>
      </c>
      <c r="B100" t="str">
        <f>"public final static String "
&amp; UPPER(
    SUBSTITUTE(
        SUBSTITUTE('Property-Definition'!D58,"[X]",""),".","_")
)
&amp; "="
&amp; CHAR(34)
&amp; 'Property-Definition'!D58
&amp; CHAR(34)
&amp; ";"</f>
        <v>public final static String LOCAL_IP_SELECTION="local.ip.selection[X]";</v>
      </c>
    </row>
    <row r="101" spans="1:2" x14ac:dyDescent="0.35">
      <c r="A101" t="str">
        <f>'Property-Definition'!A59</f>
        <v>EXEC.MODE</v>
      </c>
      <c r="B101" t="str">
        <f>"public final static String "
&amp; UPPER(
    SUBSTITUTE(
        SUBSTITUTE('Property-Definition'!D59,"[X]",""),".","_")
)
&amp; "="
&amp; CHAR(34)
&amp; 'Property-Definition'!D59
&amp; CHAR(34)
&amp; ";"</f>
        <v>public final static String FACTORY_ID="factory_id";</v>
      </c>
    </row>
    <row r="102" spans="1:2" x14ac:dyDescent="0.35">
      <c r="A102" t="str">
        <f>'Property-Definition'!A60</f>
        <v>EXEC.MODE</v>
      </c>
      <c r="B102" t="str">
        <f>"public final static String "
&amp; UPPER(
    SUBSTITUTE(
        SUBSTITUTE('Property-Definition'!D60,"[X]",""),".","_")
)
&amp; "="
&amp; CHAR(34)
&amp; 'Property-Definition'!D60
&amp; CHAR(34)
&amp; ";"</f>
        <v>public final static String BGSYSTEM_AUTO_INIT="bgsystem.auto_init";</v>
      </c>
    </row>
    <row r="103" spans="1:2" x14ac:dyDescent="0.35">
      <c r="A103" t="str">
        <f>'Property-Definition'!A61</f>
        <v>AWB.AGENTS</v>
      </c>
      <c r="B103" t="str">
        <f>"public final static String "
&amp; UPPER(
    SUBSTITUTE(
        SUBSTITUTE('Property-Definition'!D61,"[X]",""),".","_")
)
&amp; "="
&amp; CHAR(34)
&amp; 'Property-Definition'!D61
&amp; CHAR(34)
&amp; ";"</f>
        <v>public final static String AGENT_CLASSNAME="agent[X].classname";</v>
      </c>
    </row>
    <row r="104" spans="1:2" x14ac:dyDescent="0.35">
      <c r="A104" t="str">
        <f>'Property-Definition'!A62</f>
        <v>PROJECTS</v>
      </c>
      <c r="B104" t="str">
        <f>"public final static String "
&amp; UPPER(
    SUBSTITUTE(
        SUBSTITUTE('Property-Definition'!D62,"[X]",""),".","_")
)
&amp; "="
&amp; CHAR(34)
&amp; 'Property-Definition'!D62
&amp; CHAR(34)
&amp; ";"</f>
        <v>public final static String PROJECT="project[X]";</v>
      </c>
    </row>
    <row r="105" spans="1:2" x14ac:dyDescent="0.35">
      <c r="A105" t="str">
        <f>'Property-Definition'!A63</f>
        <v>PROJECT.SETUPS[X]</v>
      </c>
      <c r="B105" t="str">
        <f>"public final static String "
&amp; UPPER(
    SUBSTITUTE(
        SUBSTITUTE('Property-Definition'!D63,"[X]",""),".","_")
)
&amp; "="
&amp; CHAR(34)
&amp; 'Property-Definition'!D63
&amp; CHAR(34)
&amp; ";"</f>
        <v>public final static String PROJECT_SETUP="project[X].setup[X]";</v>
      </c>
    </row>
    <row r="106" spans="1:2" x14ac:dyDescent="0.35">
      <c r="A106" t="str">
        <f>'Property-Definition'!A64</f>
        <v>EXEC.MASTER.SLAVES.GET</v>
      </c>
      <c r="B106" t="str">
        <f>"public final static String "
&amp; UPPER(
    SUBSTITUTE(
        SUBSTITUTE('Property-Definition'!D64,"[X]",""),".","_")
)
&amp; "="
&amp; CHAR(34)
&amp; 'Property-Definition'!D64
&amp; CHAR(34)
&amp; ";"</f>
        <v>public final static String BGPLATFORM_CONTACTAGENT="bgplatform[X].contactagent";</v>
      </c>
    </row>
    <row r="107" spans="1:2" hidden="1" x14ac:dyDescent="0.35">
      <c r="A107" t="str">
        <f>'Property-Definition'!A61</f>
        <v>AWB.AGENTS</v>
      </c>
      <c r="B107" t="str">
        <f>"public final static String "&amp; UPPER(SUBSTITUTE('Property-Definition'!D61,".","_"))&amp;" = "&amp; CHAR(34) &amp; 'Property-Definition'!D61 &amp; CHAR(34)&amp; ";"</f>
        <v>public final static String AGENT[X]_CLASSNAME = "agent[X].classname";</v>
      </c>
    </row>
    <row r="108" spans="1:2" hidden="1" x14ac:dyDescent="0.35">
      <c r="A108" t="str">
        <f>'Property-Definition'!A62</f>
        <v>PROJECTS</v>
      </c>
      <c r="B108" t="str">
        <f>"public final static String "&amp; UPPER(SUBSTITUTE('Property-Definition'!D62,".","_"))&amp;" = "&amp; CHAR(34) &amp; 'Property-Definition'!D62 &amp; CHAR(34)&amp; ";"</f>
        <v>public final static String PROJECT[X] = "project[X]";</v>
      </c>
    </row>
    <row r="109" spans="1:2" hidden="1" x14ac:dyDescent="0.35">
      <c r="A109" t="str">
        <f>'Property-Definition'!A63</f>
        <v>PROJECT.SETUPS[X]</v>
      </c>
      <c r="B109" t="str">
        <f>"public final static String "&amp; UPPER(SUBSTITUTE('Property-Definition'!D63,".","_"))&amp;" = "&amp; CHAR(34) &amp; 'Property-Definition'!D63 &amp; CHAR(34)&amp; ";"</f>
        <v>public final static String PROJECT[X]_SETUP[X] = "project[X].setup[X]";</v>
      </c>
    </row>
    <row r="110" spans="1:2" x14ac:dyDescent="0.35">
      <c r="A110" t="str">
        <f>'Property-Definition'!A68</f>
        <v>EXEC.MASTER.SLAVES.GET</v>
      </c>
      <c r="B110" t="str">
        <f>"public final static String "
&amp; UPPER(
    SUBSTITUTE(
        SUBSTITUTE('Property-Definition'!D68,"[X]",""),".","_")
)
&amp; "="
&amp; CHAR(34)
&amp; 'Property-Definition'!D68
&amp; CHAR(34)
&amp; ";"</f>
        <v>public final static String BGPLATFORM_URL="bgplatform[X].url";</v>
      </c>
    </row>
    <row r="111" spans="1:2" x14ac:dyDescent="0.35">
      <c r="A111" t="str">
        <f>'Property-Definition'!A69</f>
        <v>EXEC.MASTER.SLAVES.GET</v>
      </c>
      <c r="B111" t="str">
        <f>"public final static String "
&amp; UPPER(
    SUBSTITUTE(
        SUBSTITUTE('Property-Definition'!D69,"[X]",""),".","_")
)
&amp; "="
&amp; CHAR(34)
&amp; 'Property-Definition'!D69
&amp; CHAR(34)
&amp; ";"</f>
        <v>public final static String BGPLATFORM_JADEPORT="bgplatform[X].jadeport";</v>
      </c>
    </row>
    <row r="112" spans="1:2" x14ac:dyDescent="0.35">
      <c r="A112" t="str">
        <f>'Property-Definition'!A70</f>
        <v>EXEC.MASTER.SLAVES.GET</v>
      </c>
      <c r="B112" t="str">
        <f>"public final static String "
&amp; UPPER(
    SUBSTITUTE(
        SUBSTITUTE('Property-Definition'!D70,"[X]",""),".","_")
)
&amp; "="
&amp; CHAR(34)
&amp; 'Property-Definition'!D70
&amp; CHAR(34)
&amp; ";"</f>
        <v>public final static String BGPLATFORM_HTTPMTP="bgplatform[X].httpmtp";</v>
      </c>
    </row>
    <row r="113" spans="1:2" x14ac:dyDescent="0.35">
      <c r="A113" t="str">
        <f>'Property-Definition'!A71</f>
        <v>EXEC.MASTER.SLAVES.GET</v>
      </c>
      <c r="B113" t="str">
        <f>"public final static String "
&amp; UPPER(
    SUBSTITUTE(
        SUBSTITUTE('Property-Definition'!D71,"[X]",""),".","_")
)
&amp; "="
&amp; CHAR(34)
&amp; 'Property-Definition'!D71
&amp; CHAR(34)
&amp; ";"</f>
        <v>public final static String BGPLATFORM_VERSIONMAJOR="bgplatform[X].versionmajor";</v>
      </c>
    </row>
    <row r="114" spans="1:2" x14ac:dyDescent="0.35">
      <c r="A114" t="str">
        <f>'Property-Definition'!A72</f>
        <v>EXEC.MASTER.SLAVES.GET</v>
      </c>
      <c r="B114" t="str">
        <f>"public final static String "
&amp; UPPER(
    SUBSTITUTE(
        SUBSTITUTE('Property-Definition'!D72,"[X]",""),".","_")
)
&amp; "="
&amp; CHAR(34)
&amp; 'Property-Definition'!D72
&amp; CHAR(34)
&amp; ";"</f>
        <v>public final static String BGPLATFORM_VERSIONMINOR="bgplatform[X].versionminor";</v>
      </c>
    </row>
    <row r="115" spans="1:2" x14ac:dyDescent="0.35">
      <c r="A115" t="str">
        <f>'Property-Definition'!A73</f>
        <v>EXEC.MASTER.SLAVES.GET</v>
      </c>
      <c r="B115" t="str">
        <f>"public final static String "
&amp; UPPER(
    SUBSTITUTE(
        SUBSTITUTE('Property-Definition'!D73,"[X]",""),".","_")
)
&amp; "="
&amp; CHAR(34)
&amp; 'Property-Definition'!D73
&amp; CHAR(34)
&amp; ";"</f>
        <v>public final static String BGPLATFORM_VERSIONMICRO="bgplatform[X].versionmicro";</v>
      </c>
    </row>
    <row r="116" spans="1:2" x14ac:dyDescent="0.35">
      <c r="A116" t="str">
        <f>'Property-Definition'!A74</f>
        <v>EXEC.MASTER.SLAVES.GET</v>
      </c>
      <c r="B116" t="str">
        <f>"public final static String "
&amp; UPPER(
    SUBSTITUTE(
        SUBSTITUTE('Property-Definition'!D74,"[X]",""),".","_")
)
&amp; "="
&amp; CHAR(34)
&amp; 'Property-Definition'!D74
&amp; CHAR(34)
&amp; ";"</f>
        <v>public final static String BGPLATFORM_VERSIONBUILD="bgplatform[X].versionbuild";</v>
      </c>
    </row>
    <row r="117" spans="1:2" x14ac:dyDescent="0.35">
      <c r="A117" t="str">
        <f>'Property-Definition'!A75</f>
        <v>EXEC.MASTER.SLAVES.GET</v>
      </c>
      <c r="B117" t="str">
        <f>"public final static String "
&amp; UPPER(
    SUBSTITUTE(
        SUBSTITUTE('Property-Definition'!D75,"[X]",""),".","_")
)
&amp; "="
&amp; CHAR(34)
&amp; 'Property-Definition'!D75
&amp; CHAR(34)
&amp; ";"</f>
        <v>public final static String BGPLATFORM_OS_NAME="bgplatform[X].os.name";</v>
      </c>
    </row>
    <row r="118" spans="1:2" x14ac:dyDescent="0.35">
      <c r="A118" t="str">
        <f>'Property-Definition'!A76</f>
        <v>EXEC.MASTER.SLAVES.GET</v>
      </c>
      <c r="B118" t="str">
        <f>"public final static String "
&amp; UPPER(
    SUBSTITUTE(
        SUBSTITUTE('Property-Definition'!D76,"[X]",""),".","_")
)
&amp; "="
&amp; CHAR(34)
&amp; 'Property-Definition'!D76
&amp; CHAR(34)
&amp; ";"</f>
        <v>public final static String BGPLATFORM_OS_VERSION="bgplatform[X].os.version";</v>
      </c>
    </row>
    <row r="119" spans="1:2" x14ac:dyDescent="0.35">
      <c r="A119" t="str">
        <f>'Property-Definition'!A77</f>
        <v>EXEC.MASTER.SLAVES.GET</v>
      </c>
      <c r="B119" t="str">
        <f>"public final static String "
&amp; UPPER(
    SUBSTITUTE(
        SUBSTITUTE('Property-Definition'!D77,"[X]",""),".","_")
)
&amp; "="
&amp; CHAR(34)
&amp; 'Property-Definition'!D77
&amp; CHAR(34)
&amp; ";"</f>
        <v>public final static String BGPLATFORM_OS_ARCHITECTURE="bgplatform[X].os.architecture";</v>
      </c>
    </row>
    <row r="120" spans="1:2" x14ac:dyDescent="0.35">
      <c r="A120" t="str">
        <f>'Property-Definition'!A78</f>
        <v>EXEC.MASTER.SLAVES.GET</v>
      </c>
      <c r="B120" t="str">
        <f>"public final static String "
&amp; UPPER(
    SUBSTITUTE(
        SUBSTITUTE('Property-Definition'!D78,"[X]",""),".","_")
)
&amp; "="
&amp; CHAR(34)
&amp; 'Property-Definition'!D78
&amp; CHAR(34)
&amp; ";"</f>
        <v>public final static String BGPLATFORM_CPU_NAME="bgplatform[X].cpu.name";</v>
      </c>
    </row>
    <row r="121" spans="1:2" x14ac:dyDescent="0.35">
      <c r="A121" t="str">
        <f>'Property-Definition'!A79</f>
        <v>EXEC.MASTER.SLAVES.GET</v>
      </c>
      <c r="B121" t="str">
        <f>"public final static String "
&amp; UPPER(
    SUBSTITUTE(
        SUBSTITUTE('Property-Definition'!D79,"[X]",""),".","_")
)
&amp; "="
&amp; CHAR(34)
&amp; 'Property-Definition'!D79
&amp; CHAR(34)
&amp; ";"</f>
        <v>public final static String BGPLATFORM_CPU_NUMLOGICAL="bgplatform[X].cpu.numlogical";</v>
      </c>
    </row>
    <row r="122" spans="1:2" x14ac:dyDescent="0.35">
      <c r="A122" t="str">
        <f>'Property-Definition'!A80</f>
        <v>EXEC.MASTER.SLAVES.GET</v>
      </c>
      <c r="B122" t="str">
        <f>"public final static String "
&amp; UPPER(
    SUBSTITUTE(
        SUBSTITUTE('Property-Definition'!D80,"[X]",""),".","_")
)
&amp; "="
&amp; CHAR(34)
&amp; 'Property-Definition'!D80
&amp; CHAR(34)
&amp; ";"</f>
        <v>public final static String BGPLATFORM_CPU_NUMPHYSICAL="bgplatform[X].cpu.numphysical";</v>
      </c>
    </row>
    <row r="123" spans="1:2" x14ac:dyDescent="0.35">
      <c r="A123" t="str">
        <f>'Property-Definition'!A81</f>
        <v>EXEC.MASTER.SLAVES.GET</v>
      </c>
      <c r="B123" t="str">
        <f>"public final static String "
&amp; UPPER(
    SUBSTITUTE(
        SUBSTITUTE('Property-Definition'!D81,"[X]",""),".","_")
)
&amp; "="
&amp; CHAR(34)
&amp; 'Property-Definition'!D81
&amp; CHAR(34)
&amp; ";"</f>
        <v>public final static String BGPLATFORM_CPU_SPEEDMHZ="bgplatform[X].cpu.speedmhz";</v>
      </c>
    </row>
    <row r="124" spans="1:2" x14ac:dyDescent="0.35">
      <c r="A124" t="str">
        <f>'Property-Definition'!A82</f>
        <v>EXEC.MASTER.SLAVES.GET</v>
      </c>
      <c r="B124" t="str">
        <f>"public final static String "
&amp; UPPER(
    SUBSTITUTE(
        SUBSTITUTE('Property-Definition'!D82,"[X]",""),".","_")
)
&amp; "="
&amp; CHAR(34)
&amp; 'Property-Definition'!D82
&amp; CHAR(34)
&amp; ";"</f>
        <v>public final static String BGPLATFORM_MEMORYMB="bgplatform[X].memorymb";</v>
      </c>
    </row>
    <row r="125" spans="1:2" x14ac:dyDescent="0.35">
      <c r="A125" t="str">
        <f>'Property-Definition'!A83</f>
        <v>EXEC.MASTER.SLAVES.GET</v>
      </c>
      <c r="B125" t="str">
        <f>"public final static String "
&amp; UPPER(
    SUBSTITUTE(
        SUBSTITUTE('Property-Definition'!D83,"[X]",""),".","_")
)
&amp; "="
&amp; CHAR(34)
&amp; 'Property-Definition'!D83
&amp; CHAR(34)
&amp; ";"</f>
        <v>public final static String BGPLATFORM_BENCHMARKVALUE="bgplatform[X].benchmarkvalue";</v>
      </c>
    </row>
    <row r="126" spans="1:2" x14ac:dyDescent="0.35">
      <c r="A126" t="str">
        <f>'Property-Definition'!A84</f>
        <v>EXEC.MASTER.SLAVES.GET</v>
      </c>
      <c r="B126" t="str">
        <f>"public final static String "
&amp; UPPER(
    SUBSTITUTE(
        SUBSTITUTE('Property-Definition'!D84,"[X]",""),".","_")
)
&amp; "="
&amp; CHAR(34)
&amp; 'Property-Definition'!D84
&amp; CHAR(34)
&amp; ";"</f>
        <v>public final static String BGPLATFORM_TIME_ONLINESINCE="bgplatform[X].time.onlinesince";</v>
      </c>
    </row>
    <row r="127" spans="1:2" x14ac:dyDescent="0.35">
      <c r="A127" t="str">
        <f>'Property-Definition'!A85</f>
        <v>EXEC.MASTER.SLAVES.GET</v>
      </c>
      <c r="B127" t="str">
        <f>"public final static String "
&amp; UPPER(
    SUBSTITUTE(
        SUBSTITUTE('Property-Definition'!D85,"[X]",""),".","_")
)
&amp; "="
&amp; CHAR(34)
&amp; 'Property-Definition'!D85
&amp; CHAR(34)
&amp; ";"</f>
        <v>public final static String BGPLATFORM_TIME_LASTCONTACT="bgplatform[X].time.lastcontact";</v>
      </c>
    </row>
    <row r="128" spans="1:2" x14ac:dyDescent="0.35">
      <c r="A128" t="str">
        <f>'Property-Definition'!A86</f>
        <v>EXEC.MASTER.SLAVES.GET</v>
      </c>
      <c r="B128" t="str">
        <f>"public final static String "
&amp; UPPER(
    SUBSTITUTE(
        SUBSTITUTE('Property-Definition'!D86,"[X]",""),".","_")
)
&amp; "="
&amp; CHAR(34)
&amp; 'Property-Definition'!D86
&amp; CHAR(34)
&amp; ";"</f>
        <v>public final static String BGPLATFORM_LOCALTIME_ONLINESINCE="bgplatform[X].localtime.onlinesince";</v>
      </c>
    </row>
    <row r="129" spans="1:2" x14ac:dyDescent="0.35">
      <c r="A129" t="str">
        <f>'Property-Definition'!A87</f>
        <v>EXEC.MASTER.SLAVES.GET</v>
      </c>
      <c r="B129" t="str">
        <f>"public final static String "
&amp; UPPER(
    SUBSTITUTE(
        SUBSTITUTE('Property-Definition'!D87,"[X]",""),".","_")
)
&amp; "="
&amp; CHAR(34)
&amp; 'Property-Definition'!D87
&amp; CHAR(34)
&amp; ";"</f>
        <v>public final static String BGPLATFORM_LOCALTIME_LASTCONTACT="bgplatform[X].localtime.lastcontact";</v>
      </c>
    </row>
    <row r="130" spans="1:2" x14ac:dyDescent="0.35">
      <c r="A130" t="str">
        <f>'Property-Definition'!A88</f>
        <v>EXEC.MASTER.SLAVES.GET</v>
      </c>
      <c r="B130" t="str">
        <f>"public final static String "
&amp; UPPER(
    SUBSTITUTE(
        SUBSTITUTE('Property-Definition'!D88,"[X]",""),".","_")
)
&amp; "="
&amp; CHAR(34)
&amp; 'Property-Definition'!D88
&amp; CHAR(34)
&amp; ";"</f>
        <v>public final static String BGPLATFORM_CURRENTLYAVAILABLE="bgplatform[X].currentlyavailable";</v>
      </c>
    </row>
    <row r="131" spans="1:2" x14ac:dyDescent="0.35">
      <c r="A131" t="str">
        <f>'Property-Definition'!A89</f>
        <v>EXEC.MASTER.SLAVES.GET</v>
      </c>
      <c r="B131" t="str">
        <f>"public final static String "
&amp; UPPER(
    SUBSTITUTE(
        SUBSTITUTE('Property-Definition'!D89,"[X]",""),".","_")
)
&amp; "="
&amp; CHAR(34)
&amp; 'Property-Definition'!D89
&amp; CHAR(34)
&amp; ";"</f>
        <v>public final static String BGPLATFORM_CURRENT_CPULOAD="bgplatform[X].current.cpuload";</v>
      </c>
    </row>
    <row r="132" spans="1:2" x14ac:dyDescent="0.35">
      <c r="A132" t="str">
        <f>'Property-Definition'!A90</f>
        <v>EXEC.MASTER.SLAVES.GET</v>
      </c>
      <c r="B132" t="str">
        <f>"public final static String "
&amp; UPPER(
    SUBSTITUTE(
        SUBSTITUTE('Property-Definition'!D90,"[X]",""),".","_")
)
&amp; "="
&amp; CHAR(34)
&amp; 'Property-Definition'!D90
&amp; CHAR(34)
&amp; ";"</f>
        <v>public final static String BGPLATFORM_CURRENT_MEMORYLOAD="bgplatform[X].current.memoryload";</v>
      </c>
    </row>
    <row r="133" spans="1:2" x14ac:dyDescent="0.35">
      <c r="A133" t="str">
        <f>'Property-Definition'!A91</f>
        <v>EXEC.MASTER.SLAVES.GET</v>
      </c>
      <c r="B133" t="str">
        <f>"public final static String "
&amp; UPPER(
    SUBSTITUTE(
        SUBSTITUTE('Property-Definition'!D91,"[X]",""),".","_")
)
&amp; "="
&amp; CHAR(34)
&amp; 'Property-Definition'!D91
&amp; CHAR(34)
&amp; ";"</f>
        <v>public final static String BGPLATFORM_CURRENT_MEMORYLOADJVM="bgplatform[X].current.memoryloadjvm";</v>
      </c>
    </row>
    <row r="134" spans="1:2" x14ac:dyDescent="0.35">
      <c r="A134" t="str">
        <f>'Property-Definition'!A92</f>
        <v>EXEC.MASTER.SLAVES.GET</v>
      </c>
      <c r="B134" t="str">
        <f>"public final static String "
&amp; UPPER(
    SUBSTITUTE(
        SUBSTITUTE('Property-Definition'!D92,"[X]",""),".","_")
)
&amp; "="
&amp; CHAR(34)
&amp; 'Property-Definition'!D92
&amp; CHAR(34)
&amp; ";"</f>
        <v>public final static String BGPLATFORM_CURRENT_NUMTHREADS="bgplatform[X].current.numthreads";</v>
      </c>
    </row>
    <row r="135" spans="1:2" x14ac:dyDescent="0.35">
      <c r="A135" t="str">
        <f>'Property-Definition'!A93</f>
        <v>EXEC.MASTER.SLAVES.GET</v>
      </c>
      <c r="B135" t="str">
        <f>"public final static String "
&amp; UPPER(
    SUBSTITUTE(
        SUBSTITUTE('Property-Definition'!D93,"[X]",""),".","_")
)
&amp; "="
&amp; CHAR(34)
&amp; 'Property-Definition'!D93
&amp; CHAR(34)
&amp; ";"</f>
        <v>public final static String BGPLATFORM_CURRENT_THRESHOLDEXCEEDED="bgplatform[X].current.thresholdexceeded";</v>
      </c>
    </row>
  </sheetData>
  <autoFilter ref="A1:B109" xr:uid="{F30A1E73-A707-4178-9C72-9AC27F9EE5F7}">
    <filterColumn colId="0">
      <filters>
        <filter val="EXEC.MODE"/>
      </filters>
    </filterColumn>
  </autoFilter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2026-04-28T15:26:17Z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