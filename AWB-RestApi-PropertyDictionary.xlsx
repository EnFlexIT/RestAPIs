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it\AgentWorkbench\eclipseProjects\de.enflexit.awb\bundles\web\xAPI\"/>
    </mc:Choice>
  </mc:AlternateContent>
  <xr:revisionPtr revIDLastSave="0" documentId="13_ncr:1_{E9A1BAD0-D6ED-44A5-B2E5-A434418B824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roperty-Definition" sheetId="1" r:id="rId1"/>
    <sheet name="Java-Code" sheetId="2" r:id="rId2"/>
  </sheets>
  <definedNames>
    <definedName name="_xlnm._FilterDatabase" localSheetId="1" hidden="1">'Java-Code'!$A$1:$B$93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4" i="2" l="1"/>
  <c r="B95" i="2"/>
  <c r="B96" i="2"/>
  <c r="B97" i="2"/>
  <c r="B98" i="2"/>
  <c r="B99" i="2"/>
  <c r="B100" i="2"/>
  <c r="B101" i="2"/>
  <c r="B102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68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67" i="2"/>
  <c r="A66" i="2"/>
  <c r="A65" i="2"/>
  <c r="A1" i="2"/>
</calcChain>
</file>

<file path=xl/sharedStrings.xml><?xml version="1.0" encoding="utf-8"?>
<sst xmlns="http://schemas.openxmlformats.org/spreadsheetml/2006/main" count="859" uniqueCount="223">
  <si>
    <t>key</t>
  </si>
  <si>
    <t>value</t>
  </si>
  <si>
    <t>type</t>
  </si>
  <si>
    <t>performative</t>
  </si>
  <si>
    <t>direction</t>
  </si>
  <si>
    <t>GET</t>
  </si>
  <si>
    <t>DB.SYSTEMS</t>
  </si>
  <si>
    <t>String</t>
  </si>
  <si>
    <t>dbSystem[X]</t>
  </si>
  <si>
    <t>e.g. 'Apache Derby', 'MariaDB', …</t>
  </si>
  <si>
    <t>Description</t>
  </si>
  <si>
    <t>AWB-Integration Bundle</t>
  </si>
  <si>
    <t>de.enflexit.db.hibernate</t>
  </si>
  <si>
    <t>Get only. Probably returns several indexed properties. Returns all registered HibernateDatabaseServices with ther names.</t>
  </si>
  <si>
    <t>DB.FACTORIES</t>
  </si>
  <si>
    <t>factory[X]</t>
  </si>
  <si>
    <t>e.g. 'de.enfexit.awb.bgsystem.db'</t>
  </si>
  <si>
    <t>DB.DERBY.NETWORKSERVER</t>
  </si>
  <si>
    <t>GET + SET</t>
  </si>
  <si>
    <t>isStartDerbyNetworkServer</t>
  </si>
  <si>
    <t>Boolean</t>
  </si>
  <si>
    <t>true | false</t>
  </si>
  <si>
    <t>indicator to start a derby network server</t>
  </si>
  <si>
    <t>host-IP</t>
  </si>
  <si>
    <t>localhost</t>
  </si>
  <si>
    <t>port</t>
  </si>
  <si>
    <t>Integer</t>
  </si>
  <si>
    <t>1527</t>
  </si>
  <si>
    <t>Host or IP-Address</t>
  </si>
  <si>
    <t>Port of the DB-Server</t>
  </si>
  <si>
    <t>userName</t>
  </si>
  <si>
    <t>password</t>
  </si>
  <si>
    <t>xxxxx</t>
  </si>
  <si>
    <t>******</t>
  </si>
  <si>
    <t>The username to access the DB-Server</t>
  </si>
  <si>
    <t>The password to access the DB-Server</t>
  </si>
  <si>
    <t>factory[X].state</t>
  </si>
  <si>
    <t>valueOptions</t>
  </si>
  <si>
    <t>[NotAvailableYet (Not available yet), Destroyed (SessionFactory was destroyed), CheckDBConnection (Checking database connection ...), CheckDBConectionFailed (Database connection test failed!), InitializationProcessStarted (Initialize SessionFactory), InitializationProcessFailed (Initialization of SessionFactory failed), Created (Successfully Initialized)]</t>
  </si>
  <si>
    <t>Returns all registered Hibernate database factories with their name.</t>
  </si>
  <si>
    <t>Returns the states of the corresponding factory (see value Options)</t>
  </si>
  <si>
    <t>DB.CONN.GENERAL</t>
  </si>
  <si>
    <t>de.enflexit.db.derby</t>
  </si>
  <si>
    <t>DB.SYSTEMS.PARAMETER</t>
  </si>
  <si>
    <t>e.g. 'MariaDB'</t>
  </si>
  <si>
    <t>dbSystem[X].hibernate.connection.password</t>
  </si>
  <si>
    <t>dbSystem[X].hibernate.connection.username</t>
  </si>
  <si>
    <t>dbSystem[X].hibernate.connection.driver_class</t>
  </si>
  <si>
    <t>dbSystem[X].hibernate.default_catalog</t>
  </si>
  <si>
    <t>dbSystem</t>
  </si>
  <si>
    <t>hibernate.connection.driver_class</t>
  </si>
  <si>
    <t>hibernate.connection.url</t>
  </si>
  <si>
    <t>hibernate.default_catalog</t>
  </si>
  <si>
    <t>hibernate.connection.username</t>
  </si>
  <si>
    <t>hibernate.connection.password</t>
  </si>
  <si>
    <t>dbSystem[X].hibernate.connection.url</t>
  </si>
  <si>
    <t>dbSystem[X].hibernate.connection.url.mask</t>
  </si>
  <si>
    <t>Done Server-Side</t>
  </si>
  <si>
    <t>Done Client-Side</t>
  </si>
  <si>
    <t>True</t>
  </si>
  <si>
    <t>factoryID</t>
  </si>
  <si>
    <t>e.g. 'de.enflexit.awb.bgsystem.db'</t>
  </si>
  <si>
    <t>useForEveryFactory</t>
  </si>
  <si>
    <t>SET</t>
  </si>
  <si>
    <t>DB.CONN.FACTORY.GET</t>
  </si>
  <si>
    <t>DB.CONN.FACTORY.SET</t>
  </si>
  <si>
    <t>factory[X].factoryID</t>
  </si>
  <si>
    <t>factory[X].dbSystem</t>
  </si>
  <si>
    <t>factory[X].hibernate.connection.url</t>
  </si>
  <si>
    <t>factory[X].hibernate.connection.driver_class</t>
  </si>
  <si>
    <t>factory[X].hibernate.default_catalog</t>
  </si>
  <si>
    <t>factory[X].hibernate.connection.username</t>
  </si>
  <si>
    <t>factory[X].hibernate.connection.password</t>
  </si>
  <si>
    <t>DB.CONN.TEST</t>
  </si>
  <si>
    <t>GET+SET</t>
  </si>
  <si>
    <t>HTTP, HTTPS</t>
  </si>
  <si>
    <t xml:space="preserve">Decides wether to use the general database connection settings for every db connection. </t>
  </si>
  <si>
    <t>The name of the database System</t>
  </si>
  <si>
    <t xml:space="preserve">e.g. 'de.enflexit.awb.bgsystem.db' </t>
  </si>
  <si>
    <t>Returns a list with all registered hibernate session factories</t>
  </si>
  <si>
    <t>The database system currently selected within the factory</t>
  </si>
  <si>
    <t>Returns a list with the names of all registered classes extending jade.core.Agent</t>
  </si>
  <si>
    <t>EXEC.MODE</t>
  </si>
  <si>
    <t>EXEC.MASTER.SLAVES.GET</t>
  </si>
  <si>
    <t>exec.mode</t>
  </si>
  <si>
    <t>server.master.url</t>
  </si>
  <si>
    <t>server.master.port</t>
  </si>
  <si>
    <t>server.master.port.mtp</t>
  </si>
  <si>
    <t>local.mtp.url</t>
  </si>
  <si>
    <t>local.mtp.port</t>
  </si>
  <si>
    <t>local.mtp.protocol</t>
  </si>
  <si>
    <t>AWB.AGENTS</t>
  </si>
  <si>
    <t>project[X]</t>
  </si>
  <si>
    <t>e.g. 'game_of_life'</t>
  </si>
  <si>
    <t>PROJECTS</t>
  </si>
  <si>
    <t>PROJECT.SETUPS[X]</t>
  </si>
  <si>
    <t>argument</t>
  </si>
  <si>
    <t>X = 'game_of_life'</t>
  </si>
  <si>
    <t>embeddedsystem.project</t>
  </si>
  <si>
    <t>embeddedsystem.agent[X].agentname</t>
  </si>
  <si>
    <t>service.service_setup</t>
  </si>
  <si>
    <t>device_system_exec_mode</t>
  </si>
  <si>
    <t>e.g. 'Setup'</t>
  </si>
  <si>
    <t>APPLICATION, SERVER, SERVER_MASTER, SERVER_SLAVE, DEVICE_SYSTEM</t>
  </si>
  <si>
    <t>embeddedsystem.agent[X].classname</t>
  </si>
  <si>
    <t>e.g. 'org.mariadb.jdbc.Driver'</t>
  </si>
  <si>
    <t>e.g. 'jdbc:mariadb://localhost:3306/agentWorkbench?createDatabaseIfNotExist=true'</t>
  </si>
  <si>
    <t>e.g. 'jdbc:mariadb://[HostOrIP]:[Port]/[Catalog]?createDatabaseIfNotExist=true'</t>
  </si>
  <si>
    <t>e.g. 'agentWorkbench'</t>
  </si>
  <si>
    <t>e.g. 'admin'</t>
  </si>
  <si>
    <t>e.g. 'secret'</t>
  </si>
  <si>
    <t>e.g. 'jdbc:mariadb://myServer:1234/myDatabase?createDatabaseIfNotExist=true'</t>
  </si>
  <si>
    <t>e.g. 'myDatabase'</t>
  </si>
  <si>
    <t>e.g. 'superUser'</t>
  </si>
  <si>
    <t>e.g. 'secretPassword'</t>
  </si>
  <si>
    <t>e.g. 'Application'</t>
  </si>
  <si>
    <t>e.g. 'HTTP//:myServer:1099/JADE'</t>
  </si>
  <si>
    <t>e.g. '1099'</t>
  </si>
  <si>
    <t>e.g. '192.168.0.0'</t>
  </si>
  <si>
    <t>e.g. '7778'</t>
  </si>
  <si>
    <t>e.g. 'HTTP'</t>
  </si>
  <si>
    <t>e.g. 'Game of life'</t>
  </si>
  <si>
    <t>e.g. 'jade.tools.sniffer.Sniffer'</t>
  </si>
  <si>
    <t>e.g. 'Agent1'</t>
  </si>
  <si>
    <t>e.g. '72 Agents'</t>
  </si>
  <si>
    <t>e.g.'Created'</t>
  </si>
  <si>
    <t>e.g. 'default'</t>
  </si>
  <si>
    <t>agent[X].classname</t>
  </si>
  <si>
    <t>e.g. 'ConfiguredByJADE'</t>
  </si>
  <si>
    <t>ConfiguredByJADE, ConfiguredByIPandPort</t>
  </si>
  <si>
    <t>local.mtp.creation</t>
  </si>
  <si>
    <t>factory_id</t>
  </si>
  <si>
    <t>always de.enflexit.awb.bgSystem.db</t>
  </si>
  <si>
    <t>server.master.protocol</t>
  </si>
  <si>
    <t>SETUP, AGENT</t>
  </si>
  <si>
    <t>Constant-Definition</t>
  </si>
  <si>
    <t>de.enflexit.awb.core</t>
  </si>
  <si>
    <t>project[X].setup[X]</t>
  </si>
  <si>
    <t>local.ip.selection[X]</t>
  </si>
  <si>
    <t>e.g. '10.96.155.4'</t>
  </si>
  <si>
    <t>bgplatform[X].contactagent</t>
  </si>
  <si>
    <t>bgplatform[X].platformname</t>
  </si>
  <si>
    <t>bgplatform[X].server</t>
  </si>
  <si>
    <t>bgplatform[X].ipaddress</t>
  </si>
  <si>
    <t>bgplatform[X].url</t>
  </si>
  <si>
    <t>bgplatform[X].jadeport</t>
  </si>
  <si>
    <t>bgplatform[X].httpmtp</t>
  </si>
  <si>
    <t>bgplatform[X].versionmajor</t>
  </si>
  <si>
    <t>bgplatform[X].versionminor</t>
  </si>
  <si>
    <t>bgplatform[X].versionmicro</t>
  </si>
  <si>
    <t>bgplatform[X].versionbuild</t>
  </si>
  <si>
    <t>bgplatform[X].os.name</t>
  </si>
  <si>
    <t>bgplatform[X].os.version</t>
  </si>
  <si>
    <t>bgplatform[X].os.architecture</t>
  </si>
  <si>
    <t>bgplatform[X].cpu.numlogical</t>
  </si>
  <si>
    <t>bgplatform[X].cpu.name</t>
  </si>
  <si>
    <t>bgplatform[X].cpu.numphysical</t>
  </si>
  <si>
    <t>bgplatform[X].cpu.speedmhz</t>
  </si>
  <si>
    <t>bgplatform[X].memorymb</t>
  </si>
  <si>
    <t>bgplatform[X].benchmarkvalue</t>
  </si>
  <si>
    <t>Double</t>
  </si>
  <si>
    <t>bgplatform[X].currentlyavailable</t>
  </si>
  <si>
    <t>bgplatform[X].current.cpuload</t>
  </si>
  <si>
    <t>bgplatform[X].current.memoryload</t>
  </si>
  <si>
    <t>bgplatform[X].current.memoryloadjvm</t>
  </si>
  <si>
    <t>bgplatform[X].current.numthreads</t>
  </si>
  <si>
    <t>bgplatform[X].current.thresholdexceeded</t>
  </si>
  <si>
    <t>bgplatform[X].time.onlinesince</t>
  </si>
  <si>
    <t>bgplatform[X].time.lastcontact</t>
  </si>
  <si>
    <t>bgplatform[X].localtime.onlinesince</t>
  </si>
  <si>
    <t>bgplatform[X].localtime.lastcontact</t>
  </si>
  <si>
    <t>Long</t>
  </si>
  <si>
    <t>e.g. 'server.slave@10.96.155.2:1100/JADE'</t>
  </si>
  <si>
    <t>e.g. '</t>
  </si>
  <si>
    <t>e.g. '10.96.155.2:1100/JADE'</t>
  </si>
  <si>
    <t>e.g. '11th Gen Intel(R) Core(TM) i5-1145G7 @ 2.60GHz'</t>
  </si>
  <si>
    <t>e.g. '8'</t>
  </si>
  <si>
    <t>e.g. '1498'</t>
  </si>
  <si>
    <t>e.g. '58.75'</t>
  </si>
  <si>
    <t>e.g. '9.01200008392334'</t>
  </si>
  <si>
    <t>e.g. '3.130000114440918'</t>
  </si>
  <si>
    <t>e.g. '47'</t>
  </si>
  <si>
    <t>e.g. 'http://DESKTOP:7779/acc'</t>
  </si>
  <si>
    <t>e.g. '10.96.155.12'</t>
  </si>
  <si>
    <t>e.g. '1100'</t>
  </si>
  <si>
    <t>e.g. '1777388871875'</t>
  </si>
  <si>
    <t>e.g. ''1777388871875'</t>
  </si>
  <si>
    <t>e.g. '3'</t>
  </si>
  <si>
    <t>e.g. '0'</t>
  </si>
  <si>
    <t>e.g. 'Windows 11'</t>
  </si>
  <si>
    <t>e.g. '10.0'</t>
  </si>
  <si>
    <t>e.g. 'amd64'</t>
  </si>
  <si>
    <t>e.g. '202604201143'</t>
  </si>
  <si>
    <t>e.g. '1971.77001953125'</t>
  </si>
  <si>
    <t>de.enflexit.awb.bgSystem</t>
  </si>
  <si>
    <t>UPDATE.STRATEGY</t>
  </si>
  <si>
    <t>isautoupdate</t>
  </si>
  <si>
    <t>updatecheck.backend.ispending</t>
  </si>
  <si>
    <t>updatecheck.backend.isavailable</t>
  </si>
  <si>
    <t>updatecheck.backend.lastcheck</t>
  </si>
  <si>
    <t>updatecheck.frontend.isavailable</t>
  </si>
  <si>
    <t>updatecheck.frontend.lastcheck</t>
  </si>
  <si>
    <t>de.enflexit.awb.ws.core</t>
  </si>
  <si>
    <t>updatecheck.frontend.ispending</t>
  </si>
  <si>
    <t>e.g. '21.05.26 16:49'</t>
  </si>
  <si>
    <t>UPDATE.BACKEND.EXECUTE</t>
  </si>
  <si>
    <t>update.progress</t>
  </si>
  <si>
    <t>e.g. '25'</t>
  </si>
  <si>
    <t>update.status</t>
  </si>
  <si>
    <t>update.message</t>
  </si>
  <si>
    <t>e.g. 'Currently instaling ….'</t>
  </si>
  <si>
    <t>e.g. 'Pending', 'Done', 'Error'</t>
  </si>
  <si>
    <t>e.g. '0.0.4.20260602-1140'</t>
  </si>
  <si>
    <t>UPDATE.FRONTEND.CHECK</t>
  </si>
  <si>
    <t>updatecheck.frontend.newversion</t>
  </si>
  <si>
    <t>updatecheck.frontend.currentversion</t>
  </si>
  <si>
    <t>e.g. '0.0.4.20260602-1115'</t>
  </si>
  <si>
    <t>UPDATE.FRONTEND.EXECUTE</t>
  </si>
  <si>
    <t>e.g. 'Update installed'</t>
  </si>
  <si>
    <t>e.g. 'Done'</t>
  </si>
  <si>
    <t>Pending, Done, Error</t>
  </si>
  <si>
    <t>Update installed, Nothing to update, ""</t>
  </si>
  <si>
    <t>UPDATE.BACKEND.CHECK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</si>
</sst>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Standard" xfId="0" builtinId="0"/>
  </cellStyles>
  <dxfs count="3">
    <dxf>
      <font>
        <color rgb="FF006100"/>
      </font>
      <fill>
        <patternFill>
          <bgColor rgb="FFFF99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tabSelected="1" workbookViewId="0">
      <pane ySplit="1" topLeftCell="A81" activePane="bottomLeft" state="frozen"/>
      <selection activeCell="H1" sqref="H1"/>
      <selection pane="bottomLeft" activeCell="B100" sqref="B100"/>
    </sheetView>
  </sheetViews>
  <sheetFormatPr baseColWidth="10" defaultColWidth="9.1796875" defaultRowHeight="14.5" x14ac:dyDescent="0.35"/>
  <cols>
    <col min="1" max="1" width="34.453125" bestFit="1" customWidth="1"/>
    <col min="2" max="2" width="28.7265625" customWidth="1"/>
    <col min="3" max="3" width="14.26953125" customWidth="1"/>
    <col min="4" max="4" width="54.1796875" customWidth="1"/>
    <col min="5" max="5" width="17.1796875" customWidth="1"/>
    <col min="6" max="6" width="79" customWidth="1"/>
    <col min="7" max="7" width="18.1796875" customWidth="1"/>
    <col min="8" max="8" width="34.81640625" customWidth="1"/>
    <col min="9" max="10" width="17.7265625" style="5" customWidth="1"/>
    <col min="11" max="11" width="113.7265625" customWidth="1"/>
  </cols>
  <sheetData>
    <row r="1" spans="1:11" x14ac:dyDescent="0.35">
      <c r="A1" s="1" t="s">
        <v>3</v>
      </c>
      <c r="B1" s="1" t="s">
        <v>96</v>
      </c>
      <c r="C1" s="1" t="s">
        <v>4</v>
      </c>
      <c r="D1" s="1" t="s">
        <v>0</v>
      </c>
      <c r="E1" s="1" t="s">
        <v>2</v>
      </c>
      <c r="F1" s="1" t="s">
        <v>1</v>
      </c>
      <c r="G1" s="1" t="s">
        <v>37</v>
      </c>
      <c r="H1" s="1" t="s">
        <v>11</v>
      </c>
      <c r="I1" s="4" t="s">
        <v>57</v>
      </c>
      <c r="J1" s="4" t="s">
        <v>58</v>
      </c>
      <c r="K1" s="1" t="s">
        <v>10</v>
      </c>
    </row>
    <row r="2" spans="1:11" x14ac:dyDescent="0.35">
      <c r="A2" t="s">
        <v>6</v>
      </c>
      <c r="C2" t="s">
        <v>5</v>
      </c>
      <c r="D2" t="s">
        <v>8</v>
      </c>
      <c r="E2" t="s">
        <v>7</v>
      </c>
      <c r="F2" t="s">
        <v>9</v>
      </c>
      <c r="H2" t="s">
        <v>12</v>
      </c>
      <c r="I2" s="5" t="s">
        <v>59</v>
      </c>
      <c r="J2" s="5" t="s">
        <v>59</v>
      </c>
      <c r="K2" t="s">
        <v>13</v>
      </c>
    </row>
    <row r="3" spans="1:11" x14ac:dyDescent="0.35">
      <c r="A3" t="s">
        <v>43</v>
      </c>
      <c r="C3" t="s">
        <v>5</v>
      </c>
      <c r="D3" t="s">
        <v>8</v>
      </c>
      <c r="E3" t="s">
        <v>7</v>
      </c>
      <c r="F3" t="s">
        <v>44</v>
      </c>
      <c r="H3" t="s">
        <v>12</v>
      </c>
      <c r="I3" s="5" t="s">
        <v>59</v>
      </c>
      <c r="J3" s="5" t="s">
        <v>59</v>
      </c>
    </row>
    <row r="4" spans="1:11" x14ac:dyDescent="0.35">
      <c r="A4" t="s">
        <v>43</v>
      </c>
      <c r="C4" t="s">
        <v>5</v>
      </c>
      <c r="D4" t="s">
        <v>47</v>
      </c>
      <c r="E4" t="s">
        <v>7</v>
      </c>
      <c r="F4" t="s">
        <v>105</v>
      </c>
      <c r="H4" t="s">
        <v>12</v>
      </c>
      <c r="I4" s="5" t="s">
        <v>59</v>
      </c>
      <c r="J4" s="5" t="s">
        <v>59</v>
      </c>
    </row>
    <row r="5" spans="1:11" x14ac:dyDescent="0.35">
      <c r="A5" t="s">
        <v>43</v>
      </c>
      <c r="C5" t="s">
        <v>5</v>
      </c>
      <c r="D5" t="s">
        <v>55</v>
      </c>
      <c r="E5" t="s">
        <v>7</v>
      </c>
      <c r="F5" t="s">
        <v>106</v>
      </c>
      <c r="H5" t="s">
        <v>12</v>
      </c>
      <c r="I5" s="5" t="s">
        <v>59</v>
      </c>
      <c r="J5" s="5" t="s">
        <v>59</v>
      </c>
    </row>
    <row r="6" spans="1:11" x14ac:dyDescent="0.35">
      <c r="A6" t="s">
        <v>43</v>
      </c>
      <c r="C6" t="s">
        <v>5</v>
      </c>
      <c r="D6" t="s">
        <v>56</v>
      </c>
      <c r="E6" t="s">
        <v>7</v>
      </c>
      <c r="F6" t="s">
        <v>107</v>
      </c>
      <c r="H6" t="s">
        <v>12</v>
      </c>
      <c r="I6" s="5" t="s">
        <v>59</v>
      </c>
      <c r="J6" s="5" t="s">
        <v>59</v>
      </c>
    </row>
    <row r="7" spans="1:11" x14ac:dyDescent="0.35">
      <c r="A7" t="s">
        <v>43</v>
      </c>
      <c r="C7" t="s">
        <v>5</v>
      </c>
      <c r="D7" t="s">
        <v>48</v>
      </c>
      <c r="E7" t="s">
        <v>7</v>
      </c>
      <c r="F7" t="s">
        <v>108</v>
      </c>
      <c r="H7" t="s">
        <v>12</v>
      </c>
      <c r="I7" s="5" t="s">
        <v>59</v>
      </c>
      <c r="J7" s="5" t="s">
        <v>59</v>
      </c>
    </row>
    <row r="8" spans="1:11" x14ac:dyDescent="0.35">
      <c r="A8" t="s">
        <v>43</v>
      </c>
      <c r="C8" t="s">
        <v>5</v>
      </c>
      <c r="D8" t="s">
        <v>46</v>
      </c>
      <c r="E8" t="s">
        <v>7</v>
      </c>
      <c r="F8" t="s">
        <v>109</v>
      </c>
      <c r="H8" t="s">
        <v>12</v>
      </c>
      <c r="I8" s="5" t="s">
        <v>59</v>
      </c>
      <c r="J8" s="5" t="s">
        <v>59</v>
      </c>
    </row>
    <row r="9" spans="1:11" x14ac:dyDescent="0.35">
      <c r="A9" t="s">
        <v>43</v>
      </c>
      <c r="C9" t="s">
        <v>5</v>
      </c>
      <c r="D9" t="s">
        <v>45</v>
      </c>
      <c r="E9" t="s">
        <v>7</v>
      </c>
      <c r="F9" t="s">
        <v>110</v>
      </c>
      <c r="H9" t="s">
        <v>12</v>
      </c>
      <c r="I9" s="5" t="s">
        <v>59</v>
      </c>
      <c r="J9" s="5" t="s">
        <v>59</v>
      </c>
    </row>
    <row r="10" spans="1:11" x14ac:dyDescent="0.35">
      <c r="A10" t="s">
        <v>14</v>
      </c>
      <c r="C10" t="s">
        <v>5</v>
      </c>
      <c r="D10" t="s">
        <v>15</v>
      </c>
      <c r="E10" t="s">
        <v>7</v>
      </c>
      <c r="F10" t="s">
        <v>16</v>
      </c>
      <c r="H10" t="s">
        <v>12</v>
      </c>
      <c r="I10" s="5" t="s">
        <v>59</v>
      </c>
      <c r="J10" s="5" t="s">
        <v>59</v>
      </c>
      <c r="K10" t="s">
        <v>39</v>
      </c>
    </row>
    <row r="11" spans="1:11" x14ac:dyDescent="0.35">
      <c r="A11" t="s">
        <v>14</v>
      </c>
      <c r="C11" t="s">
        <v>5</v>
      </c>
      <c r="D11" t="s">
        <v>36</v>
      </c>
      <c r="E11" t="s">
        <v>7</v>
      </c>
      <c r="F11" s="3" t="s">
        <v>125</v>
      </c>
      <c r="G11" s="3" t="s">
        <v>38</v>
      </c>
      <c r="H11" t="s">
        <v>12</v>
      </c>
      <c r="I11" s="5" t="s">
        <v>59</v>
      </c>
      <c r="J11" s="5" t="s">
        <v>59</v>
      </c>
      <c r="K11" t="s">
        <v>40</v>
      </c>
    </row>
    <row r="12" spans="1:11" x14ac:dyDescent="0.35">
      <c r="A12" t="s">
        <v>17</v>
      </c>
      <c r="C12" t="s">
        <v>18</v>
      </c>
      <c r="D12" t="s">
        <v>19</v>
      </c>
      <c r="E12" t="s">
        <v>20</v>
      </c>
      <c r="F12" t="s">
        <v>21</v>
      </c>
      <c r="H12" t="s">
        <v>42</v>
      </c>
      <c r="I12" s="5" t="s">
        <v>59</v>
      </c>
      <c r="J12" s="5" t="s">
        <v>59</v>
      </c>
      <c r="K12" t="s">
        <v>22</v>
      </c>
    </row>
    <row r="13" spans="1:11" x14ac:dyDescent="0.35">
      <c r="A13" t="s">
        <v>17</v>
      </c>
      <c r="C13" t="s">
        <v>18</v>
      </c>
      <c r="D13" t="s">
        <v>23</v>
      </c>
      <c r="E13" t="s">
        <v>7</v>
      </c>
      <c r="F13" t="s">
        <v>24</v>
      </c>
      <c r="H13" t="s">
        <v>42</v>
      </c>
      <c r="I13" s="5" t="s">
        <v>59</v>
      </c>
      <c r="J13" s="5" t="s">
        <v>59</v>
      </c>
      <c r="K13" t="s">
        <v>28</v>
      </c>
    </row>
    <row r="14" spans="1:11" x14ac:dyDescent="0.35">
      <c r="A14" t="s">
        <v>17</v>
      </c>
      <c r="C14" t="s">
        <v>18</v>
      </c>
      <c r="D14" t="s">
        <v>25</v>
      </c>
      <c r="E14" t="s">
        <v>26</v>
      </c>
      <c r="F14" s="2" t="s">
        <v>27</v>
      </c>
      <c r="G14" s="2"/>
      <c r="H14" t="s">
        <v>42</v>
      </c>
      <c r="I14" s="5" t="s">
        <v>59</v>
      </c>
      <c r="J14" s="5" t="s">
        <v>59</v>
      </c>
      <c r="K14" t="s">
        <v>29</v>
      </c>
    </row>
    <row r="15" spans="1:11" x14ac:dyDescent="0.35">
      <c r="A15" t="s">
        <v>17</v>
      </c>
      <c r="C15" t="s">
        <v>18</v>
      </c>
      <c r="D15" t="s">
        <v>30</v>
      </c>
      <c r="E15" t="s">
        <v>7</v>
      </c>
      <c r="F15" t="s">
        <v>32</v>
      </c>
      <c r="H15" t="s">
        <v>42</v>
      </c>
      <c r="I15" s="5" t="s">
        <v>59</v>
      </c>
      <c r="J15" s="5" t="s">
        <v>59</v>
      </c>
      <c r="K15" t="s">
        <v>34</v>
      </c>
    </row>
    <row r="16" spans="1:11" x14ac:dyDescent="0.35">
      <c r="A16" t="s">
        <v>17</v>
      </c>
      <c r="C16" t="s">
        <v>18</v>
      </c>
      <c r="D16" t="s">
        <v>31</v>
      </c>
      <c r="E16" t="s">
        <v>7</v>
      </c>
      <c r="F16" t="s">
        <v>33</v>
      </c>
      <c r="H16" t="s">
        <v>42</v>
      </c>
      <c r="I16" s="5" t="s">
        <v>59</v>
      </c>
      <c r="J16" s="5" t="s">
        <v>59</v>
      </c>
      <c r="K16" t="s">
        <v>35</v>
      </c>
    </row>
    <row r="17" spans="1:11" x14ac:dyDescent="0.35">
      <c r="A17" t="s">
        <v>41</v>
      </c>
      <c r="C17" t="s">
        <v>18</v>
      </c>
      <c r="D17" t="s">
        <v>62</v>
      </c>
      <c r="E17" t="s">
        <v>20</v>
      </c>
      <c r="F17" t="s">
        <v>21</v>
      </c>
      <c r="H17" t="s">
        <v>12</v>
      </c>
      <c r="I17" s="5" t="s">
        <v>59</v>
      </c>
      <c r="J17" s="5" t="s">
        <v>59</v>
      </c>
      <c r="K17" t="s">
        <v>76</v>
      </c>
    </row>
    <row r="18" spans="1:11" x14ac:dyDescent="0.35">
      <c r="A18" t="s">
        <v>41</v>
      </c>
      <c r="C18" t="s">
        <v>18</v>
      </c>
      <c r="D18" t="s">
        <v>49</v>
      </c>
      <c r="E18" t="s">
        <v>7</v>
      </c>
      <c r="F18" t="s">
        <v>44</v>
      </c>
      <c r="H18" t="s">
        <v>12</v>
      </c>
      <c r="I18" s="5" t="s">
        <v>59</v>
      </c>
      <c r="J18" s="5" t="s">
        <v>59</v>
      </c>
      <c r="K18" t="s">
        <v>77</v>
      </c>
    </row>
    <row r="19" spans="1:11" x14ac:dyDescent="0.35">
      <c r="A19" t="s">
        <v>41</v>
      </c>
      <c r="C19" t="s">
        <v>18</v>
      </c>
      <c r="D19" t="s">
        <v>50</v>
      </c>
      <c r="E19" t="s">
        <v>7</v>
      </c>
      <c r="F19" t="s">
        <v>105</v>
      </c>
      <c r="H19" t="s">
        <v>12</v>
      </c>
      <c r="I19" s="5" t="s">
        <v>59</v>
      </c>
      <c r="J19" s="5" t="s">
        <v>59</v>
      </c>
    </row>
    <row r="20" spans="1:11" x14ac:dyDescent="0.35">
      <c r="A20" t="s">
        <v>41</v>
      </c>
      <c r="C20" t="s">
        <v>18</v>
      </c>
      <c r="D20" t="s">
        <v>51</v>
      </c>
      <c r="E20" t="s">
        <v>7</v>
      </c>
      <c r="F20" t="s">
        <v>111</v>
      </c>
      <c r="H20" t="s">
        <v>12</v>
      </c>
      <c r="I20" s="5" t="s">
        <v>59</v>
      </c>
      <c r="J20" s="5" t="s">
        <v>59</v>
      </c>
    </row>
    <row r="21" spans="1:11" x14ac:dyDescent="0.35">
      <c r="A21" t="s">
        <v>41</v>
      </c>
      <c r="C21" t="s">
        <v>18</v>
      </c>
      <c r="D21" t="s">
        <v>52</v>
      </c>
      <c r="E21" t="s">
        <v>7</v>
      </c>
      <c r="F21" t="s">
        <v>112</v>
      </c>
      <c r="H21" t="s">
        <v>12</v>
      </c>
      <c r="I21" s="5" t="s">
        <v>59</v>
      </c>
      <c r="J21" s="5" t="s">
        <v>59</v>
      </c>
    </row>
    <row r="22" spans="1:11" x14ac:dyDescent="0.35">
      <c r="A22" t="s">
        <v>41</v>
      </c>
      <c r="C22" t="s">
        <v>18</v>
      </c>
      <c r="D22" t="s">
        <v>53</v>
      </c>
      <c r="E22" t="s">
        <v>7</v>
      </c>
      <c r="F22" t="s">
        <v>113</v>
      </c>
      <c r="H22" t="s">
        <v>12</v>
      </c>
      <c r="I22" s="5" t="s">
        <v>59</v>
      </c>
      <c r="J22" s="5" t="s">
        <v>59</v>
      </c>
    </row>
    <row r="23" spans="1:11" x14ac:dyDescent="0.35">
      <c r="A23" t="s">
        <v>41</v>
      </c>
      <c r="C23" t="s">
        <v>18</v>
      </c>
      <c r="D23" t="s">
        <v>54</v>
      </c>
      <c r="E23" t="s">
        <v>7</v>
      </c>
      <c r="F23" t="s">
        <v>114</v>
      </c>
      <c r="H23" t="s">
        <v>12</v>
      </c>
      <c r="I23" s="5" t="s">
        <v>59</v>
      </c>
      <c r="J23" s="5" t="s">
        <v>59</v>
      </c>
    </row>
    <row r="24" spans="1:11" x14ac:dyDescent="0.35">
      <c r="A24" t="s">
        <v>64</v>
      </c>
      <c r="C24" t="s">
        <v>5</v>
      </c>
      <c r="D24" t="s">
        <v>66</v>
      </c>
      <c r="E24" t="s">
        <v>7</v>
      </c>
      <c r="F24" t="s">
        <v>78</v>
      </c>
      <c r="H24" t="s">
        <v>12</v>
      </c>
      <c r="I24" s="5" t="s">
        <v>59</v>
      </c>
      <c r="J24" s="5" t="s">
        <v>59</v>
      </c>
      <c r="K24" t="s">
        <v>79</v>
      </c>
    </row>
    <row r="25" spans="1:11" x14ac:dyDescent="0.35">
      <c r="A25" t="s">
        <v>64</v>
      </c>
      <c r="C25" t="s">
        <v>5</v>
      </c>
      <c r="D25" t="s">
        <v>67</v>
      </c>
      <c r="E25" t="s">
        <v>7</v>
      </c>
      <c r="F25" t="s">
        <v>44</v>
      </c>
      <c r="H25" t="s">
        <v>12</v>
      </c>
      <c r="I25" s="5" t="s">
        <v>59</v>
      </c>
      <c r="J25" s="5" t="s">
        <v>59</v>
      </c>
      <c r="K25" t="s">
        <v>80</v>
      </c>
    </row>
    <row r="26" spans="1:11" x14ac:dyDescent="0.35">
      <c r="A26" t="s">
        <v>64</v>
      </c>
      <c r="C26" t="s">
        <v>5</v>
      </c>
      <c r="D26" t="s">
        <v>69</v>
      </c>
      <c r="E26" t="s">
        <v>7</v>
      </c>
      <c r="F26" t="s">
        <v>105</v>
      </c>
      <c r="H26" t="s">
        <v>12</v>
      </c>
      <c r="I26" s="5" t="s">
        <v>59</v>
      </c>
      <c r="J26" s="5" t="s">
        <v>59</v>
      </c>
    </row>
    <row r="27" spans="1:11" x14ac:dyDescent="0.35">
      <c r="A27" t="s">
        <v>64</v>
      </c>
      <c r="C27" t="s">
        <v>5</v>
      </c>
      <c r="D27" t="s">
        <v>68</v>
      </c>
      <c r="E27" t="s">
        <v>7</v>
      </c>
      <c r="F27" t="s">
        <v>111</v>
      </c>
      <c r="H27" t="s">
        <v>12</v>
      </c>
      <c r="I27" s="5" t="s">
        <v>59</v>
      </c>
      <c r="J27" s="5" t="s">
        <v>59</v>
      </c>
    </row>
    <row r="28" spans="1:11" x14ac:dyDescent="0.35">
      <c r="A28" t="s">
        <v>64</v>
      </c>
      <c r="C28" t="s">
        <v>5</v>
      </c>
      <c r="D28" t="s">
        <v>70</v>
      </c>
      <c r="E28" t="s">
        <v>7</v>
      </c>
      <c r="F28" t="s">
        <v>112</v>
      </c>
      <c r="H28" t="s">
        <v>12</v>
      </c>
      <c r="I28" s="5" t="s">
        <v>59</v>
      </c>
      <c r="J28" s="5" t="s">
        <v>59</v>
      </c>
    </row>
    <row r="29" spans="1:11" x14ac:dyDescent="0.35">
      <c r="A29" t="s">
        <v>64</v>
      </c>
      <c r="C29" t="s">
        <v>5</v>
      </c>
      <c r="D29" t="s">
        <v>71</v>
      </c>
      <c r="E29" t="s">
        <v>7</v>
      </c>
      <c r="F29" t="s">
        <v>113</v>
      </c>
      <c r="H29" t="s">
        <v>12</v>
      </c>
      <c r="I29" s="5" t="s">
        <v>59</v>
      </c>
      <c r="J29" s="5" t="s">
        <v>59</v>
      </c>
    </row>
    <row r="30" spans="1:11" x14ac:dyDescent="0.35">
      <c r="A30" t="s">
        <v>64</v>
      </c>
      <c r="C30" t="s">
        <v>5</v>
      </c>
      <c r="D30" t="s">
        <v>72</v>
      </c>
      <c r="E30" t="s">
        <v>7</v>
      </c>
      <c r="F30" t="s">
        <v>114</v>
      </c>
      <c r="H30" t="s">
        <v>12</v>
      </c>
      <c r="I30" s="5" t="s">
        <v>59</v>
      </c>
      <c r="J30" s="5" t="s">
        <v>59</v>
      </c>
    </row>
    <row r="31" spans="1:11" x14ac:dyDescent="0.35">
      <c r="A31" t="s">
        <v>65</v>
      </c>
      <c r="C31" t="s">
        <v>63</v>
      </c>
      <c r="D31" t="s">
        <v>60</v>
      </c>
      <c r="E31" t="s">
        <v>7</v>
      </c>
      <c r="F31" t="s">
        <v>61</v>
      </c>
      <c r="H31" t="s">
        <v>12</v>
      </c>
      <c r="I31" s="5" t="s">
        <v>59</v>
      </c>
      <c r="J31" s="5" t="s">
        <v>59</v>
      </c>
    </row>
    <row r="32" spans="1:11" x14ac:dyDescent="0.35">
      <c r="A32" t="s">
        <v>65</v>
      </c>
      <c r="C32" t="s">
        <v>63</v>
      </c>
      <c r="D32" t="s">
        <v>49</v>
      </c>
      <c r="E32" t="s">
        <v>7</v>
      </c>
      <c r="F32" t="s">
        <v>44</v>
      </c>
      <c r="H32" t="s">
        <v>12</v>
      </c>
      <c r="I32" s="5" t="s">
        <v>59</v>
      </c>
      <c r="J32" s="5" t="s">
        <v>59</v>
      </c>
    </row>
    <row r="33" spans="1:10" x14ac:dyDescent="0.35">
      <c r="A33" t="s">
        <v>65</v>
      </c>
      <c r="C33" t="s">
        <v>63</v>
      </c>
      <c r="D33" t="s">
        <v>50</v>
      </c>
      <c r="E33" t="s">
        <v>7</v>
      </c>
      <c r="F33" t="s">
        <v>105</v>
      </c>
      <c r="H33" t="s">
        <v>12</v>
      </c>
      <c r="I33" s="5" t="s">
        <v>59</v>
      </c>
      <c r="J33" s="5" t="s">
        <v>59</v>
      </c>
    </row>
    <row r="34" spans="1:10" x14ac:dyDescent="0.35">
      <c r="A34" t="s">
        <v>65</v>
      </c>
      <c r="C34" t="s">
        <v>63</v>
      </c>
      <c r="D34" t="s">
        <v>51</v>
      </c>
      <c r="E34" t="s">
        <v>7</v>
      </c>
      <c r="F34" t="s">
        <v>111</v>
      </c>
      <c r="H34" t="s">
        <v>12</v>
      </c>
      <c r="I34" s="5" t="s">
        <v>59</v>
      </c>
      <c r="J34" s="5" t="s">
        <v>59</v>
      </c>
    </row>
    <row r="35" spans="1:10" x14ac:dyDescent="0.35">
      <c r="A35" t="s">
        <v>65</v>
      </c>
      <c r="C35" t="s">
        <v>63</v>
      </c>
      <c r="D35" t="s">
        <v>52</v>
      </c>
      <c r="E35" t="s">
        <v>7</v>
      </c>
      <c r="F35" t="s">
        <v>112</v>
      </c>
      <c r="H35" t="s">
        <v>12</v>
      </c>
      <c r="I35" s="5" t="s">
        <v>59</v>
      </c>
      <c r="J35" s="5" t="s">
        <v>59</v>
      </c>
    </row>
    <row r="36" spans="1:10" x14ac:dyDescent="0.35">
      <c r="A36" t="s">
        <v>65</v>
      </c>
      <c r="C36" t="s">
        <v>63</v>
      </c>
      <c r="D36" t="s">
        <v>53</v>
      </c>
      <c r="E36" t="s">
        <v>7</v>
      </c>
      <c r="F36" t="s">
        <v>113</v>
      </c>
      <c r="H36" t="s">
        <v>12</v>
      </c>
      <c r="I36" s="5" t="s">
        <v>59</v>
      </c>
      <c r="J36" s="5" t="s">
        <v>59</v>
      </c>
    </row>
    <row r="37" spans="1:10" x14ac:dyDescent="0.35">
      <c r="A37" t="s">
        <v>65</v>
      </c>
      <c r="C37" t="s">
        <v>63</v>
      </c>
      <c r="D37" t="s">
        <v>54</v>
      </c>
      <c r="E37" t="s">
        <v>7</v>
      </c>
      <c r="F37" t="s">
        <v>114</v>
      </c>
      <c r="H37" t="s">
        <v>12</v>
      </c>
      <c r="I37" s="5" t="s">
        <v>59</v>
      </c>
      <c r="J37" s="5" t="s">
        <v>59</v>
      </c>
    </row>
    <row r="38" spans="1:10" x14ac:dyDescent="0.35">
      <c r="A38" t="s">
        <v>73</v>
      </c>
      <c r="C38" t="s">
        <v>63</v>
      </c>
      <c r="D38" t="s">
        <v>49</v>
      </c>
      <c r="E38" t="s">
        <v>7</v>
      </c>
      <c r="F38" t="s">
        <v>44</v>
      </c>
      <c r="H38" t="s">
        <v>12</v>
      </c>
      <c r="I38" s="5" t="s">
        <v>59</v>
      </c>
      <c r="J38" s="5" t="s">
        <v>59</v>
      </c>
    </row>
    <row r="39" spans="1:10" x14ac:dyDescent="0.35">
      <c r="A39" t="s">
        <v>73</v>
      </c>
      <c r="C39" t="s">
        <v>63</v>
      </c>
      <c r="D39" t="s">
        <v>50</v>
      </c>
      <c r="E39" t="s">
        <v>7</v>
      </c>
      <c r="F39" t="s">
        <v>105</v>
      </c>
      <c r="H39" t="s">
        <v>12</v>
      </c>
      <c r="I39" s="5" t="s">
        <v>59</v>
      </c>
      <c r="J39" s="5" t="s">
        <v>59</v>
      </c>
    </row>
    <row r="40" spans="1:10" x14ac:dyDescent="0.35">
      <c r="A40" t="s">
        <v>73</v>
      </c>
      <c r="C40" t="s">
        <v>63</v>
      </c>
      <c r="D40" t="s">
        <v>51</v>
      </c>
      <c r="E40" t="s">
        <v>7</v>
      </c>
      <c r="F40" t="s">
        <v>111</v>
      </c>
      <c r="H40" t="s">
        <v>12</v>
      </c>
      <c r="I40" s="5" t="s">
        <v>59</v>
      </c>
      <c r="J40" s="5" t="s">
        <v>59</v>
      </c>
    </row>
    <row r="41" spans="1:10" x14ac:dyDescent="0.35">
      <c r="A41" t="s">
        <v>73</v>
      </c>
      <c r="C41" t="s">
        <v>63</v>
      </c>
      <c r="D41" t="s">
        <v>52</v>
      </c>
      <c r="E41" t="s">
        <v>7</v>
      </c>
      <c r="F41" t="s">
        <v>112</v>
      </c>
      <c r="H41" t="s">
        <v>12</v>
      </c>
      <c r="I41" s="5" t="s">
        <v>59</v>
      </c>
      <c r="J41" s="5" t="s">
        <v>59</v>
      </c>
    </row>
    <row r="42" spans="1:10" x14ac:dyDescent="0.35">
      <c r="A42" t="s">
        <v>73</v>
      </c>
      <c r="C42" t="s">
        <v>63</v>
      </c>
      <c r="D42" t="s">
        <v>53</v>
      </c>
      <c r="E42" t="s">
        <v>7</v>
      </c>
      <c r="F42" t="s">
        <v>113</v>
      </c>
      <c r="H42" t="s">
        <v>12</v>
      </c>
      <c r="I42" s="5" t="s">
        <v>59</v>
      </c>
      <c r="J42" s="5" t="s">
        <v>59</v>
      </c>
    </row>
    <row r="43" spans="1:10" x14ac:dyDescent="0.35">
      <c r="A43" t="s">
        <v>73</v>
      </c>
      <c r="C43" t="s">
        <v>63</v>
      </c>
      <c r="D43" t="s">
        <v>54</v>
      </c>
      <c r="E43" t="s">
        <v>7</v>
      </c>
      <c r="F43" t="s">
        <v>114</v>
      </c>
      <c r="H43" t="s">
        <v>12</v>
      </c>
      <c r="I43" s="5" t="s">
        <v>59</v>
      </c>
      <c r="J43" s="5" t="s">
        <v>59</v>
      </c>
    </row>
    <row r="44" spans="1:10" x14ac:dyDescent="0.35">
      <c r="A44" t="s">
        <v>82</v>
      </c>
      <c r="C44" t="s">
        <v>74</v>
      </c>
      <c r="D44" t="s">
        <v>84</v>
      </c>
      <c r="E44" t="s">
        <v>7</v>
      </c>
      <c r="F44" t="s">
        <v>115</v>
      </c>
      <c r="G44" t="s">
        <v>103</v>
      </c>
      <c r="H44" t="s">
        <v>136</v>
      </c>
      <c r="I44" s="5" t="s">
        <v>59</v>
      </c>
      <c r="J44" s="5" t="s">
        <v>59</v>
      </c>
    </row>
    <row r="45" spans="1:10" x14ac:dyDescent="0.35">
      <c r="A45" t="s">
        <v>82</v>
      </c>
      <c r="C45" t="s">
        <v>74</v>
      </c>
      <c r="D45" t="s">
        <v>85</v>
      </c>
      <c r="E45" t="s">
        <v>7</v>
      </c>
      <c r="F45" t="s">
        <v>116</v>
      </c>
      <c r="H45" t="s">
        <v>136</v>
      </c>
      <c r="I45" s="5" t="s">
        <v>59</v>
      </c>
      <c r="J45" s="5" t="s">
        <v>59</v>
      </c>
    </row>
    <row r="46" spans="1:10" x14ac:dyDescent="0.35">
      <c r="A46" t="s">
        <v>82</v>
      </c>
      <c r="C46" t="s">
        <v>74</v>
      </c>
      <c r="D46" t="s">
        <v>86</v>
      </c>
      <c r="E46" t="s">
        <v>26</v>
      </c>
      <c r="F46" s="6" t="s">
        <v>117</v>
      </c>
      <c r="H46" t="s">
        <v>136</v>
      </c>
      <c r="I46" s="5" t="s">
        <v>59</v>
      </c>
      <c r="J46" s="5" t="s">
        <v>59</v>
      </c>
    </row>
    <row r="47" spans="1:10" x14ac:dyDescent="0.35">
      <c r="A47" t="s">
        <v>82</v>
      </c>
      <c r="C47" t="s">
        <v>74</v>
      </c>
      <c r="D47" t="s">
        <v>87</v>
      </c>
      <c r="E47" t="s">
        <v>26</v>
      </c>
      <c r="F47" s="6" t="s">
        <v>117</v>
      </c>
      <c r="H47" t="s">
        <v>136</v>
      </c>
      <c r="I47" s="5" t="s">
        <v>59</v>
      </c>
      <c r="J47" s="5" t="s">
        <v>59</v>
      </c>
    </row>
    <row r="48" spans="1:10" x14ac:dyDescent="0.35">
      <c r="A48" t="s">
        <v>82</v>
      </c>
      <c r="C48" t="s">
        <v>74</v>
      </c>
      <c r="D48" t="s">
        <v>133</v>
      </c>
      <c r="E48" t="s">
        <v>7</v>
      </c>
      <c r="F48" s="6" t="s">
        <v>120</v>
      </c>
      <c r="G48" t="s">
        <v>75</v>
      </c>
      <c r="H48" t="s">
        <v>136</v>
      </c>
      <c r="I48" s="5" t="s">
        <v>59</v>
      </c>
      <c r="J48" s="5" t="s">
        <v>59</v>
      </c>
    </row>
    <row r="49" spans="1:11" x14ac:dyDescent="0.35">
      <c r="A49" t="s">
        <v>82</v>
      </c>
      <c r="C49" t="s">
        <v>74</v>
      </c>
      <c r="D49" t="s">
        <v>130</v>
      </c>
      <c r="E49" t="s">
        <v>7</v>
      </c>
      <c r="F49" t="s">
        <v>128</v>
      </c>
      <c r="G49" t="s">
        <v>129</v>
      </c>
      <c r="H49" t="s">
        <v>136</v>
      </c>
      <c r="I49" s="5" t="s">
        <v>59</v>
      </c>
      <c r="J49" s="5" t="s">
        <v>59</v>
      </c>
    </row>
    <row r="50" spans="1:11" x14ac:dyDescent="0.35">
      <c r="A50" t="s">
        <v>82</v>
      </c>
      <c r="C50" t="s">
        <v>74</v>
      </c>
      <c r="D50" t="s">
        <v>88</v>
      </c>
      <c r="E50" t="s">
        <v>7</v>
      </c>
      <c r="F50" t="s">
        <v>118</v>
      </c>
      <c r="H50" t="s">
        <v>136</v>
      </c>
      <c r="I50" s="5" t="s">
        <v>59</v>
      </c>
      <c r="J50" s="5" t="s">
        <v>59</v>
      </c>
    </row>
    <row r="51" spans="1:11" x14ac:dyDescent="0.35">
      <c r="A51" t="s">
        <v>82</v>
      </c>
      <c r="C51" t="s">
        <v>74</v>
      </c>
      <c r="D51" t="s">
        <v>89</v>
      </c>
      <c r="E51" t="s">
        <v>26</v>
      </c>
      <c r="F51" t="s">
        <v>119</v>
      </c>
      <c r="H51" t="s">
        <v>136</v>
      </c>
      <c r="I51" s="5" t="s">
        <v>59</v>
      </c>
      <c r="J51" s="5" t="s">
        <v>59</v>
      </c>
    </row>
    <row r="52" spans="1:11" x14ac:dyDescent="0.35">
      <c r="A52" t="s">
        <v>82</v>
      </c>
      <c r="C52" t="s">
        <v>74</v>
      </c>
      <c r="D52" t="s">
        <v>90</v>
      </c>
      <c r="E52" t="s">
        <v>7</v>
      </c>
      <c r="F52" t="s">
        <v>120</v>
      </c>
      <c r="G52" t="s">
        <v>75</v>
      </c>
      <c r="H52" t="s">
        <v>136</v>
      </c>
      <c r="I52" s="5" t="s">
        <v>59</v>
      </c>
      <c r="J52" s="5" t="s">
        <v>59</v>
      </c>
    </row>
    <row r="53" spans="1:11" x14ac:dyDescent="0.35">
      <c r="A53" t="s">
        <v>82</v>
      </c>
      <c r="C53" t="s">
        <v>74</v>
      </c>
      <c r="D53" t="s">
        <v>98</v>
      </c>
      <c r="E53" t="s">
        <v>7</v>
      </c>
      <c r="F53" t="s">
        <v>121</v>
      </c>
      <c r="H53" t="s">
        <v>136</v>
      </c>
      <c r="I53" s="5" t="s">
        <v>59</v>
      </c>
      <c r="J53" s="5" t="s">
        <v>59</v>
      </c>
    </row>
    <row r="54" spans="1:11" x14ac:dyDescent="0.35">
      <c r="A54" t="s">
        <v>82</v>
      </c>
      <c r="C54" t="s">
        <v>74</v>
      </c>
      <c r="D54" t="s">
        <v>101</v>
      </c>
      <c r="E54" t="s">
        <v>7</v>
      </c>
      <c r="F54" t="s">
        <v>102</v>
      </c>
      <c r="G54" t="s">
        <v>134</v>
      </c>
      <c r="H54" t="s">
        <v>136</v>
      </c>
      <c r="I54" s="5" t="s">
        <v>59</v>
      </c>
      <c r="J54" s="5" t="s">
        <v>59</v>
      </c>
    </row>
    <row r="55" spans="1:11" x14ac:dyDescent="0.35">
      <c r="A55" t="s">
        <v>82</v>
      </c>
      <c r="C55" t="s">
        <v>74</v>
      </c>
      <c r="D55" t="s">
        <v>104</v>
      </c>
      <c r="E55" t="s">
        <v>7</v>
      </c>
      <c r="F55" t="s">
        <v>122</v>
      </c>
      <c r="H55" t="s">
        <v>136</v>
      </c>
      <c r="I55" s="5" t="s">
        <v>59</v>
      </c>
      <c r="J55" s="5" t="s">
        <v>59</v>
      </c>
    </row>
    <row r="56" spans="1:11" x14ac:dyDescent="0.35">
      <c r="A56" t="s">
        <v>82</v>
      </c>
      <c r="C56" t="s">
        <v>74</v>
      </c>
      <c r="D56" t="s">
        <v>99</v>
      </c>
      <c r="E56" t="s">
        <v>7</v>
      </c>
      <c r="F56" t="s">
        <v>123</v>
      </c>
      <c r="H56" t="s">
        <v>136</v>
      </c>
      <c r="I56" s="5" t="s">
        <v>59</v>
      </c>
      <c r="J56" s="5" t="s">
        <v>59</v>
      </c>
    </row>
    <row r="57" spans="1:11" x14ac:dyDescent="0.35">
      <c r="A57" t="s">
        <v>82</v>
      </c>
      <c r="C57" t="s">
        <v>74</v>
      </c>
      <c r="D57" t="s">
        <v>100</v>
      </c>
      <c r="E57" t="s">
        <v>7</v>
      </c>
      <c r="F57" t="s">
        <v>124</v>
      </c>
      <c r="H57" t="s">
        <v>136</v>
      </c>
      <c r="I57" s="5" t="s">
        <v>59</v>
      </c>
      <c r="J57" s="5" t="s">
        <v>59</v>
      </c>
    </row>
    <row r="58" spans="1:11" x14ac:dyDescent="0.35">
      <c r="A58" t="s">
        <v>82</v>
      </c>
      <c r="C58" t="s">
        <v>5</v>
      </c>
      <c r="D58" t="s">
        <v>138</v>
      </c>
      <c r="E58" t="s">
        <v>7</v>
      </c>
      <c r="F58" s="6" t="s">
        <v>139</v>
      </c>
      <c r="H58" t="s">
        <v>136</v>
      </c>
      <c r="I58" s="5" t="s">
        <v>59</v>
      </c>
      <c r="J58" s="5" t="s">
        <v>59</v>
      </c>
    </row>
    <row r="59" spans="1:11" x14ac:dyDescent="0.35">
      <c r="A59" t="s">
        <v>82</v>
      </c>
      <c r="C59" t="s">
        <v>5</v>
      </c>
      <c r="D59" t="s">
        <v>131</v>
      </c>
      <c r="E59" t="s">
        <v>7</v>
      </c>
      <c r="F59" t="s">
        <v>132</v>
      </c>
      <c r="H59" t="s">
        <v>136</v>
      </c>
      <c r="I59" s="5" t="s">
        <v>59</v>
      </c>
      <c r="J59" s="5" t="s">
        <v>59</v>
      </c>
    </row>
    <row r="60" spans="1:11" x14ac:dyDescent="0.35">
      <c r="A60" t="s">
        <v>91</v>
      </c>
      <c r="C60" t="s">
        <v>5</v>
      </c>
      <c r="D60" t="s">
        <v>127</v>
      </c>
      <c r="E60" t="s">
        <v>7</v>
      </c>
      <c r="F60" t="s">
        <v>122</v>
      </c>
      <c r="H60" t="s">
        <v>194</v>
      </c>
      <c r="I60" s="5" t="s">
        <v>59</v>
      </c>
      <c r="J60" s="5" t="s">
        <v>59</v>
      </c>
      <c r="K60" t="s">
        <v>81</v>
      </c>
    </row>
    <row r="61" spans="1:11" x14ac:dyDescent="0.35">
      <c r="A61" t="s">
        <v>94</v>
      </c>
      <c r="C61" t="s">
        <v>5</v>
      </c>
      <c r="D61" t="s">
        <v>92</v>
      </c>
      <c r="E61" t="s">
        <v>7</v>
      </c>
      <c r="F61" t="s">
        <v>93</v>
      </c>
      <c r="H61" t="s">
        <v>194</v>
      </c>
      <c r="I61" s="5" t="s">
        <v>59</v>
      </c>
      <c r="J61" s="5" t="s">
        <v>59</v>
      </c>
    </row>
    <row r="62" spans="1:11" x14ac:dyDescent="0.35">
      <c r="A62" t="s">
        <v>95</v>
      </c>
      <c r="B62" t="s">
        <v>97</v>
      </c>
      <c r="C62" t="s">
        <v>5</v>
      </c>
      <c r="D62" t="s">
        <v>137</v>
      </c>
      <c r="E62" t="s">
        <v>7</v>
      </c>
      <c r="F62" t="s">
        <v>126</v>
      </c>
      <c r="H62" t="s">
        <v>194</v>
      </c>
      <c r="I62" s="5" t="s">
        <v>59</v>
      </c>
      <c r="J62" s="5" t="s">
        <v>59</v>
      </c>
    </row>
    <row r="63" spans="1:11" x14ac:dyDescent="0.35">
      <c r="A63" t="s">
        <v>83</v>
      </c>
      <c r="C63" t="s">
        <v>5</v>
      </c>
      <c r="D63" t="s">
        <v>140</v>
      </c>
      <c r="E63" t="s">
        <v>7</v>
      </c>
      <c r="F63" t="s">
        <v>172</v>
      </c>
      <c r="H63" t="s">
        <v>194</v>
      </c>
      <c r="I63" s="5" t="s">
        <v>59</v>
      </c>
      <c r="J63" s="5" t="s">
        <v>59</v>
      </c>
    </row>
    <row r="64" spans="1:11" x14ac:dyDescent="0.35">
      <c r="A64" t="s">
        <v>83</v>
      </c>
      <c r="C64" t="s">
        <v>5</v>
      </c>
      <c r="D64" t="s">
        <v>141</v>
      </c>
      <c r="E64" t="s">
        <v>7</v>
      </c>
      <c r="F64" t="s">
        <v>174</v>
      </c>
      <c r="H64" t="s">
        <v>194</v>
      </c>
      <c r="I64" s="5" t="s">
        <v>59</v>
      </c>
      <c r="J64" s="5" t="s">
        <v>59</v>
      </c>
    </row>
    <row r="65" spans="1:10" x14ac:dyDescent="0.35">
      <c r="A65" t="s">
        <v>83</v>
      </c>
      <c r="C65" t="s">
        <v>5</v>
      </c>
      <c r="D65" t="s">
        <v>142</v>
      </c>
      <c r="E65" t="s">
        <v>20</v>
      </c>
      <c r="F65" t="s">
        <v>21</v>
      </c>
      <c r="H65" t="s">
        <v>194</v>
      </c>
      <c r="I65" s="5" t="s">
        <v>59</v>
      </c>
      <c r="J65" s="5" t="s">
        <v>59</v>
      </c>
    </row>
    <row r="66" spans="1:10" x14ac:dyDescent="0.35">
      <c r="A66" t="s">
        <v>83</v>
      </c>
      <c r="C66" t="s">
        <v>5</v>
      </c>
      <c r="D66" t="s">
        <v>143</v>
      </c>
      <c r="E66" t="s">
        <v>7</v>
      </c>
      <c r="F66" t="s">
        <v>183</v>
      </c>
      <c r="H66" t="s">
        <v>194</v>
      </c>
      <c r="I66" s="5" t="s">
        <v>59</v>
      </c>
      <c r="J66" s="5" t="s">
        <v>59</v>
      </c>
    </row>
    <row r="67" spans="1:10" x14ac:dyDescent="0.35">
      <c r="A67" t="s">
        <v>83</v>
      </c>
      <c r="C67" t="s">
        <v>5</v>
      </c>
      <c r="D67" t="s">
        <v>144</v>
      </c>
      <c r="E67" t="s">
        <v>7</v>
      </c>
      <c r="F67" t="s">
        <v>173</v>
      </c>
      <c r="H67" t="s">
        <v>194</v>
      </c>
      <c r="I67" s="5" t="s">
        <v>59</v>
      </c>
      <c r="J67" s="5" t="s">
        <v>59</v>
      </c>
    </row>
    <row r="68" spans="1:10" x14ac:dyDescent="0.35">
      <c r="A68" t="s">
        <v>83</v>
      </c>
      <c r="C68" t="s">
        <v>5</v>
      </c>
      <c r="D68" t="s">
        <v>145</v>
      </c>
      <c r="E68" t="s">
        <v>26</v>
      </c>
      <c r="F68" t="s">
        <v>184</v>
      </c>
      <c r="H68" t="s">
        <v>194</v>
      </c>
      <c r="I68" s="5" t="s">
        <v>59</v>
      </c>
      <c r="J68" s="5" t="s">
        <v>59</v>
      </c>
    </row>
    <row r="69" spans="1:10" x14ac:dyDescent="0.35">
      <c r="A69" t="s">
        <v>83</v>
      </c>
      <c r="C69" t="s">
        <v>5</v>
      </c>
      <c r="D69" t="s">
        <v>146</v>
      </c>
      <c r="E69" t="s">
        <v>7</v>
      </c>
      <c r="F69" t="s">
        <v>182</v>
      </c>
      <c r="H69" t="s">
        <v>194</v>
      </c>
      <c r="I69" s="5" t="s">
        <v>59</v>
      </c>
      <c r="J69" s="5" t="s">
        <v>59</v>
      </c>
    </row>
    <row r="70" spans="1:10" x14ac:dyDescent="0.35">
      <c r="A70" t="s">
        <v>83</v>
      </c>
      <c r="C70" t="s">
        <v>5</v>
      </c>
      <c r="D70" t="s">
        <v>147</v>
      </c>
      <c r="E70" t="s">
        <v>26</v>
      </c>
      <c r="F70" t="s">
        <v>187</v>
      </c>
      <c r="H70" t="s">
        <v>194</v>
      </c>
      <c r="I70" s="5" t="s">
        <v>59</v>
      </c>
      <c r="J70" s="5" t="s">
        <v>59</v>
      </c>
    </row>
    <row r="71" spans="1:10" x14ac:dyDescent="0.35">
      <c r="A71" t="s">
        <v>83</v>
      </c>
      <c r="C71" t="s">
        <v>5</v>
      </c>
      <c r="D71" t="s">
        <v>148</v>
      </c>
      <c r="E71" t="s">
        <v>26</v>
      </c>
      <c r="F71" t="s">
        <v>188</v>
      </c>
      <c r="H71" t="s">
        <v>194</v>
      </c>
      <c r="I71" s="5" t="s">
        <v>59</v>
      </c>
      <c r="J71" s="5" t="s">
        <v>59</v>
      </c>
    </row>
    <row r="72" spans="1:10" x14ac:dyDescent="0.35">
      <c r="A72" t="s">
        <v>83</v>
      </c>
      <c r="C72" t="s">
        <v>5</v>
      </c>
      <c r="D72" t="s">
        <v>149</v>
      </c>
      <c r="E72" t="s">
        <v>26</v>
      </c>
      <c r="F72" t="s">
        <v>188</v>
      </c>
      <c r="H72" t="s">
        <v>194</v>
      </c>
      <c r="I72" s="5" t="s">
        <v>59</v>
      </c>
      <c r="J72" s="5" t="s">
        <v>59</v>
      </c>
    </row>
    <row r="73" spans="1:10" x14ac:dyDescent="0.35">
      <c r="A73" t="s">
        <v>83</v>
      </c>
      <c r="C73" t="s">
        <v>5</v>
      </c>
      <c r="D73" t="s">
        <v>150</v>
      </c>
      <c r="E73" t="s">
        <v>26</v>
      </c>
      <c r="F73" t="s">
        <v>192</v>
      </c>
      <c r="H73" t="s">
        <v>194</v>
      </c>
      <c r="I73" s="5" t="s">
        <v>59</v>
      </c>
      <c r="J73" s="5" t="s">
        <v>59</v>
      </c>
    </row>
    <row r="74" spans="1:10" x14ac:dyDescent="0.35">
      <c r="A74" t="s">
        <v>83</v>
      </c>
      <c r="C74" t="s">
        <v>5</v>
      </c>
      <c r="D74" t="s">
        <v>151</v>
      </c>
      <c r="E74" t="s">
        <v>7</v>
      </c>
      <c r="F74" t="s">
        <v>189</v>
      </c>
      <c r="H74" t="s">
        <v>194</v>
      </c>
      <c r="I74" s="5" t="s">
        <v>59</v>
      </c>
      <c r="J74" s="5" t="s">
        <v>59</v>
      </c>
    </row>
    <row r="75" spans="1:10" x14ac:dyDescent="0.35">
      <c r="A75" t="s">
        <v>83</v>
      </c>
      <c r="C75" t="s">
        <v>5</v>
      </c>
      <c r="D75" t="s">
        <v>152</v>
      </c>
      <c r="E75" t="s">
        <v>7</v>
      </c>
      <c r="F75" t="s">
        <v>190</v>
      </c>
      <c r="H75" t="s">
        <v>194</v>
      </c>
      <c r="I75" s="5" t="s">
        <v>59</v>
      </c>
      <c r="J75" s="5" t="s">
        <v>59</v>
      </c>
    </row>
    <row r="76" spans="1:10" x14ac:dyDescent="0.35">
      <c r="A76" t="s">
        <v>83</v>
      </c>
      <c r="C76" t="s">
        <v>5</v>
      </c>
      <c r="D76" t="s">
        <v>153</v>
      </c>
      <c r="E76" t="s">
        <v>7</v>
      </c>
      <c r="F76" t="s">
        <v>191</v>
      </c>
      <c r="H76" t="s">
        <v>194</v>
      </c>
      <c r="I76" s="5" t="s">
        <v>59</v>
      </c>
      <c r="J76" s="5" t="s">
        <v>59</v>
      </c>
    </row>
    <row r="77" spans="1:10" x14ac:dyDescent="0.35">
      <c r="A77" t="s">
        <v>83</v>
      </c>
      <c r="C77" t="s">
        <v>5</v>
      </c>
      <c r="D77" t="s">
        <v>155</v>
      </c>
      <c r="E77" t="s">
        <v>7</v>
      </c>
      <c r="F77" t="s">
        <v>175</v>
      </c>
      <c r="H77" t="s">
        <v>194</v>
      </c>
      <c r="I77" s="5" t="s">
        <v>59</v>
      </c>
      <c r="J77" s="5" t="s">
        <v>59</v>
      </c>
    </row>
    <row r="78" spans="1:10" x14ac:dyDescent="0.35">
      <c r="A78" t="s">
        <v>83</v>
      </c>
      <c r="C78" t="s">
        <v>5</v>
      </c>
      <c r="D78" t="s">
        <v>154</v>
      </c>
      <c r="E78" t="s">
        <v>26</v>
      </c>
      <c r="F78" t="s">
        <v>176</v>
      </c>
      <c r="H78" t="s">
        <v>194</v>
      </c>
      <c r="I78" s="5" t="s">
        <v>59</v>
      </c>
      <c r="J78" s="5" t="s">
        <v>59</v>
      </c>
    </row>
    <row r="79" spans="1:10" x14ac:dyDescent="0.35">
      <c r="A79" t="s">
        <v>83</v>
      </c>
      <c r="C79" t="s">
        <v>5</v>
      </c>
      <c r="D79" t="s">
        <v>156</v>
      </c>
      <c r="E79" t="s">
        <v>26</v>
      </c>
      <c r="F79" t="s">
        <v>176</v>
      </c>
      <c r="H79" t="s">
        <v>194</v>
      </c>
      <c r="I79" s="5" t="s">
        <v>59</v>
      </c>
      <c r="J79" s="5" t="s">
        <v>59</v>
      </c>
    </row>
    <row r="80" spans="1:10" x14ac:dyDescent="0.35">
      <c r="A80" t="s">
        <v>83</v>
      </c>
      <c r="C80" t="s">
        <v>5</v>
      </c>
      <c r="D80" t="s">
        <v>157</v>
      </c>
      <c r="E80" t="s">
        <v>26</v>
      </c>
      <c r="F80" t="s">
        <v>177</v>
      </c>
      <c r="H80" t="s">
        <v>194</v>
      </c>
      <c r="I80" s="5" t="s">
        <v>59</v>
      </c>
      <c r="J80" s="5" t="s">
        <v>59</v>
      </c>
    </row>
    <row r="81" spans="1:10" x14ac:dyDescent="0.35">
      <c r="A81" t="s">
        <v>83</v>
      </c>
      <c r="C81" t="s">
        <v>5</v>
      </c>
      <c r="D81" t="s">
        <v>158</v>
      </c>
      <c r="E81" t="s">
        <v>26</v>
      </c>
      <c r="F81" t="s">
        <v>173</v>
      </c>
      <c r="H81" t="s">
        <v>194</v>
      </c>
      <c r="I81" s="5" t="s">
        <v>59</v>
      </c>
      <c r="J81" s="5" t="s">
        <v>59</v>
      </c>
    </row>
    <row r="82" spans="1:10" x14ac:dyDescent="0.35">
      <c r="A82" t="s">
        <v>83</v>
      </c>
      <c r="C82" t="s">
        <v>5</v>
      </c>
      <c r="D82" t="s">
        <v>159</v>
      </c>
      <c r="E82" t="s">
        <v>160</v>
      </c>
      <c r="F82" t="s">
        <v>193</v>
      </c>
      <c r="H82" t="s">
        <v>194</v>
      </c>
      <c r="I82" s="5" t="s">
        <v>59</v>
      </c>
      <c r="J82" s="5" t="s">
        <v>59</v>
      </c>
    </row>
    <row r="83" spans="1:10" x14ac:dyDescent="0.35">
      <c r="A83" t="s">
        <v>83</v>
      </c>
      <c r="C83" t="s">
        <v>5</v>
      </c>
      <c r="D83" t="s">
        <v>167</v>
      </c>
      <c r="E83" t="s">
        <v>171</v>
      </c>
      <c r="F83" t="s">
        <v>185</v>
      </c>
      <c r="H83" t="s">
        <v>194</v>
      </c>
      <c r="I83" s="5" t="s">
        <v>59</v>
      </c>
      <c r="J83" s="5" t="s">
        <v>59</v>
      </c>
    </row>
    <row r="84" spans="1:10" x14ac:dyDescent="0.35">
      <c r="A84" t="s">
        <v>83</v>
      </c>
      <c r="C84" t="s">
        <v>5</v>
      </c>
      <c r="D84" t="s">
        <v>168</v>
      </c>
      <c r="E84" t="s">
        <v>171</v>
      </c>
      <c r="F84" t="s">
        <v>186</v>
      </c>
      <c r="H84" t="s">
        <v>194</v>
      </c>
      <c r="I84" s="5" t="s">
        <v>59</v>
      </c>
      <c r="J84" s="5" t="s">
        <v>59</v>
      </c>
    </row>
    <row r="85" spans="1:10" x14ac:dyDescent="0.35">
      <c r="A85" t="s">
        <v>83</v>
      </c>
      <c r="C85" t="s">
        <v>5</v>
      </c>
      <c r="D85" t="s">
        <v>169</v>
      </c>
      <c r="E85" t="s">
        <v>171</v>
      </c>
      <c r="F85" t="s">
        <v>186</v>
      </c>
      <c r="H85" t="s">
        <v>194</v>
      </c>
      <c r="I85" s="5" t="s">
        <v>59</v>
      </c>
      <c r="J85" s="5" t="s">
        <v>59</v>
      </c>
    </row>
    <row r="86" spans="1:10" x14ac:dyDescent="0.35">
      <c r="A86" t="s">
        <v>83</v>
      </c>
      <c r="C86" t="s">
        <v>5</v>
      </c>
      <c r="D86" t="s">
        <v>170</v>
      </c>
      <c r="E86" t="s">
        <v>171</v>
      </c>
      <c r="F86" t="s">
        <v>186</v>
      </c>
      <c r="H86" t="s">
        <v>194</v>
      </c>
      <c r="I86" s="5" t="s">
        <v>59</v>
      </c>
      <c r="J86" s="5" t="s">
        <v>59</v>
      </c>
    </row>
    <row r="87" spans="1:10" x14ac:dyDescent="0.35">
      <c r="A87" t="s">
        <v>83</v>
      </c>
      <c r="C87" t="s">
        <v>5</v>
      </c>
      <c r="D87" t="s">
        <v>161</v>
      </c>
      <c r="E87" t="s">
        <v>20</v>
      </c>
      <c r="F87" t="s">
        <v>21</v>
      </c>
      <c r="H87" t="s">
        <v>194</v>
      </c>
      <c r="I87" s="5" t="s">
        <v>59</v>
      </c>
      <c r="J87" s="5" t="s">
        <v>59</v>
      </c>
    </row>
    <row r="88" spans="1:10" x14ac:dyDescent="0.35">
      <c r="A88" t="s">
        <v>83</v>
      </c>
      <c r="C88" t="s">
        <v>5</v>
      </c>
      <c r="D88" t="s">
        <v>162</v>
      </c>
      <c r="E88" t="s">
        <v>160</v>
      </c>
      <c r="F88" t="s">
        <v>179</v>
      </c>
      <c r="H88" t="s">
        <v>194</v>
      </c>
      <c r="I88" s="5" t="s">
        <v>59</v>
      </c>
      <c r="J88" s="5" t="s">
        <v>59</v>
      </c>
    </row>
    <row r="89" spans="1:10" x14ac:dyDescent="0.35">
      <c r="A89" t="s">
        <v>83</v>
      </c>
      <c r="C89" t="s">
        <v>5</v>
      </c>
      <c r="D89" t="s">
        <v>163</v>
      </c>
      <c r="E89" t="s">
        <v>160</v>
      </c>
      <c r="F89" t="s">
        <v>178</v>
      </c>
      <c r="H89" t="s">
        <v>194</v>
      </c>
      <c r="I89" s="5" t="s">
        <v>59</v>
      </c>
      <c r="J89" s="5" t="s">
        <v>59</v>
      </c>
    </row>
    <row r="90" spans="1:10" x14ac:dyDescent="0.35">
      <c r="A90" t="s">
        <v>83</v>
      </c>
      <c r="C90" t="s">
        <v>5</v>
      </c>
      <c r="D90" t="s">
        <v>164</v>
      </c>
      <c r="E90" t="s">
        <v>160</v>
      </c>
      <c r="F90" t="s">
        <v>180</v>
      </c>
      <c r="H90" t="s">
        <v>194</v>
      </c>
      <c r="I90" s="5" t="s">
        <v>59</v>
      </c>
      <c r="J90" s="5" t="s">
        <v>59</v>
      </c>
    </row>
    <row r="91" spans="1:10" x14ac:dyDescent="0.35">
      <c r="A91" t="s">
        <v>83</v>
      </c>
      <c r="C91" t="s">
        <v>5</v>
      </c>
      <c r="D91" t="s">
        <v>165</v>
      </c>
      <c r="E91" t="s">
        <v>26</v>
      </c>
      <c r="F91" t="s">
        <v>181</v>
      </c>
      <c r="H91" t="s">
        <v>194</v>
      </c>
      <c r="I91" s="5" t="s">
        <v>59</v>
      </c>
      <c r="J91" s="5" t="s">
        <v>59</v>
      </c>
    </row>
    <row r="92" spans="1:10" x14ac:dyDescent="0.35">
      <c r="A92" t="s">
        <v>83</v>
      </c>
      <c r="C92" t="s">
        <v>5</v>
      </c>
      <c r="D92" t="s">
        <v>166</v>
      </c>
      <c r="E92" t="s">
        <v>20</v>
      </c>
      <c r="F92" t="s">
        <v>21</v>
      </c>
      <c r="H92" t="s">
        <v>194</v>
      </c>
      <c r="I92" s="5" t="s">
        <v>59</v>
      </c>
      <c r="J92" s="5" t="s">
        <v>59</v>
      </c>
    </row>
    <row r="93" spans="1:10" x14ac:dyDescent="0.35">
      <c r="A93" t="s">
        <v>195</v>
      </c>
      <c r="C93" t="s">
        <v>74</v>
      </c>
      <c r="D93" t="s">
        <v>196</v>
      </c>
      <c r="E93" t="s">
        <v>20</v>
      </c>
      <c r="F93" t="s">
        <v>21</v>
      </c>
      <c r="H93" t="s">
        <v>202</v>
      </c>
      <c r="I93" s="5" t="s">
        <v>59</v>
      </c>
      <c r="J93" s="5" t="s">
        <v>59</v>
      </c>
    </row>
    <row r="94" spans="1:10" x14ac:dyDescent="0.35">
      <c r="A94" t="s">
        <v>222</v>
      </c>
      <c r="C94" t="s">
        <v>5</v>
      </c>
      <c r="D94" t="s">
        <v>197</v>
      </c>
      <c r="E94" t="s">
        <v>20</v>
      </c>
      <c r="F94" t="s">
        <v>21</v>
      </c>
      <c r="H94" t="s">
        <v>136</v>
      </c>
      <c r="I94" s="5" t="s">
        <v>59</v>
      </c>
    </row>
    <row r="95" spans="1:10" x14ac:dyDescent="0.35">
      <c r="A95" t="s">
        <v>222</v>
      </c>
      <c r="C95" t="s">
        <v>5</v>
      </c>
      <c r="D95" t="s">
        <v>198</v>
      </c>
      <c r="E95" t="s">
        <v>20</v>
      </c>
      <c r="F95" t="s">
        <v>21</v>
      </c>
      <c r="H95" t="s">
        <v>136</v>
      </c>
      <c r="I95" s="5" t="s">
        <v>59</v>
      </c>
    </row>
    <row r="96" spans="1:10" x14ac:dyDescent="0.35">
      <c r="A96" t="s">
        <v>222</v>
      </c>
      <c r="C96" t="s">
        <v>5</v>
      </c>
      <c r="D96" t="s">
        <v>199</v>
      </c>
      <c r="E96" t="s">
        <v>7</v>
      </c>
      <c r="F96" t="s">
        <v>204</v>
      </c>
      <c r="H96" t="s">
        <v>136</v>
      </c>
      <c r="I96" s="5" t="s">
        <v>59</v>
      </c>
    </row>
    <row r="97" spans="1:9" x14ac:dyDescent="0.35">
      <c r="A97" t="s">
        <v>205</v>
      </c>
      <c r="C97" t="s">
        <v>5</v>
      </c>
      <c r="D97" t="s">
        <v>208</v>
      </c>
      <c r="E97" t="s">
        <v>7</v>
      </c>
      <c r="F97" t="s">
        <v>211</v>
      </c>
      <c r="H97" t="s">
        <v>136</v>
      </c>
      <c r="I97" s="5" t="s">
        <v>59</v>
      </c>
    </row>
    <row r="98" spans="1:9" x14ac:dyDescent="0.35">
      <c r="A98" t="s">
        <v>205</v>
      </c>
      <c r="C98" t="s">
        <v>5</v>
      </c>
      <c r="D98" t="s">
        <v>206</v>
      </c>
      <c r="E98" t="s">
        <v>26</v>
      </c>
      <c r="F98" t="s">
        <v>207</v>
      </c>
      <c r="H98" t="s">
        <v>136</v>
      </c>
      <c r="I98" s="5" t="s">
        <v>59</v>
      </c>
    </row>
    <row r="99" spans="1:9" x14ac:dyDescent="0.35">
      <c r="A99" t="s">
        <v>205</v>
      </c>
      <c r="C99" t="s">
        <v>5</v>
      </c>
      <c r="D99" t="s">
        <v>209</v>
      </c>
      <c r="E99" t="s">
        <v>7</v>
      </c>
      <c r="F99" t="s">
        <v>210</v>
      </c>
      <c r="H99" t="s">
        <v>136</v>
      </c>
      <c r="I99" s="5" t="s">
        <v>59</v>
      </c>
    </row>
    <row r="100" spans="1:9" x14ac:dyDescent="0.35">
      <c r="A100" t="s">
        <v>213</v>
      </c>
      <c r="C100" t="s">
        <v>5</v>
      </c>
      <c r="D100" t="s">
        <v>203</v>
      </c>
      <c r="E100" t="s">
        <v>20</v>
      </c>
      <c r="F100" t="s">
        <v>21</v>
      </c>
      <c r="H100" t="s">
        <v>202</v>
      </c>
      <c r="I100" s="5" t="s">
        <v>59</v>
      </c>
    </row>
    <row r="101" spans="1:9" x14ac:dyDescent="0.35">
      <c r="A101" t="s">
        <v>213</v>
      </c>
      <c r="C101" t="s">
        <v>5</v>
      </c>
      <c r="D101" t="s">
        <v>200</v>
      </c>
      <c r="E101" t="s">
        <v>20</v>
      </c>
      <c r="F101" t="s">
        <v>21</v>
      </c>
      <c r="H101" t="s">
        <v>202</v>
      </c>
      <c r="I101" s="5" t="s">
        <v>59</v>
      </c>
    </row>
    <row r="102" spans="1:9" x14ac:dyDescent="0.35">
      <c r="A102" t="s">
        <v>213</v>
      </c>
      <c r="C102" t="s">
        <v>5</v>
      </c>
      <c r="D102" t="s">
        <v>201</v>
      </c>
      <c r="E102" t="s">
        <v>7</v>
      </c>
      <c r="F102" t="s">
        <v>204</v>
      </c>
      <c r="H102" t="s">
        <v>202</v>
      </c>
      <c r="I102" s="5" t="s">
        <v>59</v>
      </c>
    </row>
    <row r="103" spans="1:9" x14ac:dyDescent="0.35">
      <c r="A103" t="s">
        <v>213</v>
      </c>
      <c r="C103" t="s">
        <v>5</v>
      </c>
      <c r="D103" t="s">
        <v>215</v>
      </c>
      <c r="E103" t="s">
        <v>7</v>
      </c>
      <c r="F103" t="s">
        <v>216</v>
      </c>
      <c r="H103" t="s">
        <v>202</v>
      </c>
      <c r="I103" s="5" t="s">
        <v>59</v>
      </c>
    </row>
    <row r="104" spans="1:9" x14ac:dyDescent="0.35">
      <c r="A104" t="s">
        <v>213</v>
      </c>
      <c r="C104" t="s">
        <v>5</v>
      </c>
      <c r="D104" t="s">
        <v>214</v>
      </c>
      <c r="E104" t="s">
        <v>7</v>
      </c>
      <c r="F104" t="s">
        <v>212</v>
      </c>
      <c r="H104" t="s">
        <v>202</v>
      </c>
      <c r="I104" s="5" t="s">
        <v>59</v>
      </c>
    </row>
    <row r="105" spans="1:9" x14ac:dyDescent="0.35">
      <c r="A105" t="s">
        <v>217</v>
      </c>
      <c r="C105" t="s">
        <v>5</v>
      </c>
      <c r="D105" t="s">
        <v>208</v>
      </c>
      <c r="E105" t="s">
        <v>7</v>
      </c>
      <c r="F105" t="s">
        <v>219</v>
      </c>
      <c r="G105" t="s">
        <v>220</v>
      </c>
      <c r="I105" s="5" t="s">
        <v>59</v>
      </c>
    </row>
    <row r="106" spans="1:9" x14ac:dyDescent="0.35">
      <c r="A106" t="s">
        <v>217</v>
      </c>
      <c r="C106" t="s">
        <v>5</v>
      </c>
      <c r="D106" t="s">
        <v>209</v>
      </c>
      <c r="E106" t="s">
        <v>7</v>
      </c>
      <c r="F106" t="s">
        <v>218</v>
      </c>
      <c r="G106" t="s">
        <v>221</v>
      </c>
      <c r="I106" s="5" t="s">
        <v>59</v>
      </c>
    </row>
  </sheetData>
  <conditionalFormatting sqref="I2:J43 J44:J93 I44:I106">
    <cfRule type="cellIs" dxfId="2" priority="1" operator="equal">
      <formula>"In Progress"</formula>
    </cfRule>
    <cfRule type="cellIs" dxfId="1" priority="2" operator="equal">
      <formula>"True"</formula>
    </cfRule>
    <cfRule type="containsBlanks" dxfId="0" priority="3">
      <formula>LEN(TRIM(I2))=0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A1E73-A707-4178-9C72-9AC27F9EE5F7}">
  <dimension ref="A1:B113"/>
  <sheetViews>
    <sheetView topLeftCell="A67" workbookViewId="0">
      <selection activeCell="B93" sqref="B93:B102"/>
    </sheetView>
  </sheetViews>
  <sheetFormatPr baseColWidth="10" defaultRowHeight="14.5" x14ac:dyDescent="0.35"/>
  <cols>
    <col min="1" max="1" width="24.54296875" bestFit="1" customWidth="1"/>
    <col min="2" max="2" width="18.7265625" customWidth="1"/>
  </cols>
  <sheetData>
    <row r="1" spans="1:2" x14ac:dyDescent="0.35">
      <c r="A1" s="1" t="str">
        <f>'Property-Definition'!A1</f>
        <v>performative</v>
      </c>
      <c r="B1" s="1" t="s">
        <v>135</v>
      </c>
    </row>
    <row r="2" spans="1:2" x14ac:dyDescent="0.35">
      <c r="A2" t="str">
        <f>'Property-Definition'!A2</f>
        <v>DB.SYSTEMS</v>
      </c>
      <c r="B2" t="str">
        <f>"public final static String "
&amp; UPPER(
    SUBSTITUTE(
        SUBSTITUTE('Property-Definition'!D2,"[X]",""),".","_")
)
&amp; " = "
&amp; CHAR(34)
&amp; 'Property-Definition'!D2
&amp; CHAR(34)
&amp; ";"</f>
        <v>public final static String DBSYSTEM = "dbSystem[X]";</v>
      </c>
    </row>
    <row r="3" spans="1:2" x14ac:dyDescent="0.35">
      <c r="A3" t="str">
        <f>'Property-Definition'!A3</f>
        <v>DB.SYSTEMS.PARAMETER</v>
      </c>
      <c r="B3" t="str">
        <f>"public final static String "
&amp; UPPER(
    SUBSTITUTE(
        SUBSTITUTE('Property-Definition'!D3,"[X]",""),".","_")
)
&amp; " = "
&amp; CHAR(34)
&amp; 'Property-Definition'!D3
&amp; CHAR(34)
&amp; ";"</f>
        <v>public final static String DBSYSTEM = "dbSystem[X]";</v>
      </c>
    </row>
    <row r="4" spans="1:2" x14ac:dyDescent="0.35">
      <c r="A4" t="str">
        <f>'Property-Definition'!A4</f>
        <v>DB.SYSTEMS.PARAMETER</v>
      </c>
      <c r="B4" t="str">
        <f>"public final static String "
&amp; UPPER(
    SUBSTITUTE(
        SUBSTITUTE('Property-Definition'!D4,"[X]",""),".","_")
)
&amp; " = "
&amp; CHAR(34)
&amp; 'Property-Definition'!D4
&amp; CHAR(34)
&amp; ";"</f>
        <v>public final static String DBSYSTEM_HIBERNATE_CONNECTION_DRIVER_CLASS = "dbSystem[X].hibernate.connection.driver_class";</v>
      </c>
    </row>
    <row r="5" spans="1:2" x14ac:dyDescent="0.35">
      <c r="A5" t="str">
        <f>'Property-Definition'!A5</f>
        <v>DB.SYSTEMS.PARAMETER</v>
      </c>
      <c r="B5" t="str">
        <f>"public final static String "
&amp; UPPER(
    SUBSTITUTE(
        SUBSTITUTE('Property-Definition'!D5,"[X]",""),".","_")
)
&amp; " = "
&amp; CHAR(34)
&amp; 'Property-Definition'!D5
&amp; CHAR(34)
&amp; ";"</f>
        <v>public final static String DBSYSTEM_HIBERNATE_CONNECTION_URL = "dbSystem[X].hibernate.connection.url";</v>
      </c>
    </row>
    <row r="6" spans="1:2" x14ac:dyDescent="0.35">
      <c r="A6" t="str">
        <f>'Property-Definition'!A6</f>
        <v>DB.SYSTEMS.PARAMETER</v>
      </c>
      <c r="B6" t="str">
        <f>"public final static String "
&amp; UPPER(
    SUBSTITUTE(
        SUBSTITUTE('Property-Definition'!D6,"[X]",""),".","_")
)
&amp; " = "
&amp; CHAR(34)
&amp; 'Property-Definition'!D6
&amp; CHAR(34)
&amp; ";"</f>
        <v>public final static String DBSYSTEM_HIBERNATE_CONNECTION_URL_MASK = "dbSystem[X].hibernate.connection.url.mask";</v>
      </c>
    </row>
    <row r="7" spans="1:2" x14ac:dyDescent="0.35">
      <c r="A7" t="str">
        <f>'Property-Definition'!A7</f>
        <v>DB.SYSTEMS.PARAMETER</v>
      </c>
      <c r="B7" t="str">
        <f>"public final static String "
&amp; UPPER(
    SUBSTITUTE(
        SUBSTITUTE('Property-Definition'!D7,"[X]",""),".","_")
)
&amp; " = "
&amp; CHAR(34)
&amp; 'Property-Definition'!D7
&amp; CHAR(34)
&amp; ";"</f>
        <v>public final static String DBSYSTEM_HIBERNATE_DEFAULT_CATALOG = "dbSystem[X].hibernate.default_catalog";</v>
      </c>
    </row>
    <row r="8" spans="1:2" x14ac:dyDescent="0.35">
      <c r="A8" t="str">
        <f>'Property-Definition'!A8</f>
        <v>DB.SYSTEMS.PARAMETER</v>
      </c>
      <c r="B8" t="str">
        <f>"public final static String "
&amp; UPPER(
    SUBSTITUTE(
        SUBSTITUTE('Property-Definition'!D8,"[X]",""),".","_")
)
&amp; " = "
&amp; CHAR(34)
&amp; 'Property-Definition'!D8
&amp; CHAR(34)
&amp; ";"</f>
        <v>public final static String DBSYSTEM_HIBERNATE_CONNECTION_USERNAME = "dbSystem[X].hibernate.connection.username";</v>
      </c>
    </row>
    <row r="9" spans="1:2" x14ac:dyDescent="0.35">
      <c r="A9" t="str">
        <f>'Property-Definition'!A9</f>
        <v>DB.SYSTEMS.PARAMETER</v>
      </c>
      <c r="B9" t="str">
        <f>"public final static String "
&amp; UPPER(
    SUBSTITUTE(
        SUBSTITUTE('Property-Definition'!D9,"[X]",""),".","_")
)
&amp; " = "
&amp; CHAR(34)
&amp; 'Property-Definition'!D9
&amp; CHAR(34)
&amp; ";"</f>
        <v>public final static String DBSYSTEM_HIBERNATE_CONNECTION_PASSWORD = "dbSystem[X].hibernate.connection.password";</v>
      </c>
    </row>
    <row r="10" spans="1:2" x14ac:dyDescent="0.35">
      <c r="A10" t="str">
        <f>'Property-Definition'!A10</f>
        <v>DB.FACTORIES</v>
      </c>
      <c r="B10" t="str">
        <f>"public final static String "
&amp; UPPER(
    SUBSTITUTE(
        SUBSTITUTE('Property-Definition'!D10,"[X]",""),".","_")
)
&amp; " = "
&amp; CHAR(34)
&amp; 'Property-Definition'!D10
&amp; CHAR(34)
&amp; ";"</f>
        <v>public final static String FACTORY = "factory[X]";</v>
      </c>
    </row>
    <row r="11" spans="1:2" x14ac:dyDescent="0.35">
      <c r="A11" t="str">
        <f>'Property-Definition'!A11</f>
        <v>DB.FACTORIES</v>
      </c>
      <c r="B11" t="str">
        <f>"public final static String "
&amp; UPPER(
    SUBSTITUTE(
        SUBSTITUTE('Property-Definition'!D11,"[X]",""),".","_")
)
&amp; " = "
&amp; CHAR(34)
&amp; 'Property-Definition'!D11
&amp; CHAR(34)
&amp; ";"</f>
        <v>public final static String FACTORY_STATE = "factory[X].state";</v>
      </c>
    </row>
    <row r="12" spans="1:2" x14ac:dyDescent="0.35">
      <c r="A12" t="str">
        <f>'Property-Definition'!A12</f>
        <v>DB.DERBY.NETWORKSERVER</v>
      </c>
      <c r="B12" t="str">
        <f>"public final static String "
&amp; UPPER(
    SUBSTITUTE(
        SUBSTITUTE('Property-Definition'!D12,"[X]",""),".","_")
)
&amp; " = "
&amp; CHAR(34)
&amp; 'Property-Definition'!D12
&amp; CHAR(34)
&amp; ";"</f>
        <v>public final static String ISSTARTDERBYNETWORKSERVER = "isStartDerbyNetworkServer";</v>
      </c>
    </row>
    <row r="13" spans="1:2" x14ac:dyDescent="0.35">
      <c r="A13" t="str">
        <f>'Property-Definition'!A13</f>
        <v>DB.DERBY.NETWORKSERVER</v>
      </c>
      <c r="B13" t="str">
        <f>"public final static String "
&amp; UPPER(
    SUBSTITUTE(
        SUBSTITUTE('Property-Definition'!D13,"[X]",""),".","_")
)
&amp; " = "
&amp; CHAR(34)
&amp; 'Property-Definition'!D13
&amp; CHAR(34)
&amp; ";"</f>
        <v>public final static String HOST-IP = "host-IP";</v>
      </c>
    </row>
    <row r="14" spans="1:2" x14ac:dyDescent="0.35">
      <c r="A14" t="str">
        <f>'Property-Definition'!A14</f>
        <v>DB.DERBY.NETWORKSERVER</v>
      </c>
      <c r="B14" t="str">
        <f>"public final static String "
&amp; UPPER(
    SUBSTITUTE(
        SUBSTITUTE('Property-Definition'!D14,"[X]",""),".","_")
)
&amp; " = "
&amp; CHAR(34)
&amp; 'Property-Definition'!D14
&amp; CHAR(34)
&amp; ";"</f>
        <v>public final static String PORT = "port";</v>
      </c>
    </row>
    <row r="15" spans="1:2" x14ac:dyDescent="0.35">
      <c r="A15" t="str">
        <f>'Property-Definition'!A15</f>
        <v>DB.DERBY.NETWORKSERVER</v>
      </c>
      <c r="B15" t="str">
        <f>"public final static String "
&amp; UPPER(
    SUBSTITUTE(
        SUBSTITUTE('Property-Definition'!D15,"[X]",""),".","_")
)
&amp; " = "
&amp; CHAR(34)
&amp; 'Property-Definition'!D15
&amp; CHAR(34)
&amp; ";"</f>
        <v>public final static String USERNAME = "userName";</v>
      </c>
    </row>
    <row r="16" spans="1:2" x14ac:dyDescent="0.35">
      <c r="A16" t="str">
        <f>'Property-Definition'!A16</f>
        <v>DB.DERBY.NETWORKSERVER</v>
      </c>
      <c r="B16" t="str">
        <f>"public final static String "
&amp; UPPER(
    SUBSTITUTE(
        SUBSTITUTE('Property-Definition'!D16,"[X]",""),".","_")
)
&amp; " = "
&amp; CHAR(34)
&amp; 'Property-Definition'!D16
&amp; CHAR(34)
&amp; ";"</f>
        <v>public final static String PASSWORD = "password";</v>
      </c>
    </row>
    <row r="17" spans="1:2" x14ac:dyDescent="0.35">
      <c r="A17" t="str">
        <f>'Property-Definition'!A17</f>
        <v>DB.CONN.GENERAL</v>
      </c>
      <c r="B17" t="str">
        <f>"public final static String "
&amp; UPPER(
    SUBSTITUTE(
        SUBSTITUTE('Property-Definition'!D17,"[X]",""),".","_")
)
&amp; " = "
&amp; CHAR(34)
&amp; 'Property-Definition'!D17
&amp; CHAR(34)
&amp; ";"</f>
        <v>public final static String USEFOREVERYFACTORY = "useForEveryFactory";</v>
      </c>
    </row>
    <row r="18" spans="1:2" x14ac:dyDescent="0.35">
      <c r="A18" t="str">
        <f>'Property-Definition'!A18</f>
        <v>DB.CONN.GENERAL</v>
      </c>
      <c r="B18" t="str">
        <f>"public final static String "
&amp; UPPER(
    SUBSTITUTE(
        SUBSTITUTE('Property-Definition'!D18,"[X]",""),".","_")
)
&amp; " = "
&amp; CHAR(34)
&amp; 'Property-Definition'!D18
&amp; CHAR(34)
&amp; ";"</f>
        <v>public final static String DBSYSTEM = "dbSystem";</v>
      </c>
    </row>
    <row r="19" spans="1:2" x14ac:dyDescent="0.35">
      <c r="A19" t="str">
        <f>'Property-Definition'!A19</f>
        <v>DB.CONN.GENERAL</v>
      </c>
      <c r="B19" t="str">
        <f>"public final static String "
&amp; UPPER(
    SUBSTITUTE(
        SUBSTITUTE('Property-Definition'!D19,"[X]",""),".","_")
)
&amp; " = "
&amp; CHAR(34)
&amp; 'Property-Definition'!D19
&amp; CHAR(34)
&amp; ";"</f>
        <v>public final static String HIBERNATE_CONNECTION_DRIVER_CLASS = "hibernate.connection.driver_class";</v>
      </c>
    </row>
    <row r="20" spans="1:2" x14ac:dyDescent="0.35">
      <c r="A20" t="str">
        <f>'Property-Definition'!A20</f>
        <v>DB.CONN.GENERAL</v>
      </c>
      <c r="B20" t="str">
        <f>"public final static String "
&amp; UPPER(
    SUBSTITUTE(
        SUBSTITUTE('Property-Definition'!D20,"[X]",""),".","_")
)
&amp; " = "
&amp; CHAR(34)
&amp; 'Property-Definition'!D20
&amp; CHAR(34)
&amp; ";"</f>
        <v>public final static String HIBERNATE_CONNECTION_URL = "hibernate.connection.url";</v>
      </c>
    </row>
    <row r="21" spans="1:2" x14ac:dyDescent="0.35">
      <c r="A21" t="str">
        <f>'Property-Definition'!A21</f>
        <v>DB.CONN.GENERAL</v>
      </c>
      <c r="B21" t="str">
        <f>"public final static String "
&amp; UPPER(
    SUBSTITUTE(
        SUBSTITUTE('Property-Definition'!D21,"[X]",""),".","_")
)
&amp; " = "
&amp; CHAR(34)
&amp; 'Property-Definition'!D21
&amp; CHAR(34)
&amp; ";"</f>
        <v>public final static String HIBERNATE_DEFAULT_CATALOG = "hibernate.default_catalog";</v>
      </c>
    </row>
    <row r="22" spans="1:2" x14ac:dyDescent="0.35">
      <c r="A22" t="str">
        <f>'Property-Definition'!A22</f>
        <v>DB.CONN.GENERAL</v>
      </c>
      <c r="B22" t="str">
        <f>"public final static String "
&amp; UPPER(
    SUBSTITUTE(
        SUBSTITUTE('Property-Definition'!D22,"[X]",""),".","_")
)
&amp; " = "
&amp; CHAR(34)
&amp; 'Property-Definition'!D22
&amp; CHAR(34)
&amp; ";"</f>
        <v>public final static String HIBERNATE_CONNECTION_USERNAME = "hibernate.connection.username";</v>
      </c>
    </row>
    <row r="23" spans="1:2" x14ac:dyDescent="0.35">
      <c r="A23" t="str">
        <f>'Property-Definition'!A23</f>
        <v>DB.CONN.GENERAL</v>
      </c>
      <c r="B23" t="str">
        <f>"public final static String "
&amp; UPPER(
    SUBSTITUTE(
        SUBSTITUTE('Property-Definition'!D23,"[X]",""),".","_")
)
&amp; " = "
&amp; CHAR(34)
&amp; 'Property-Definition'!D23
&amp; CHAR(34)
&amp; ";"</f>
        <v>public final static String HIBERNATE_CONNECTION_PASSWORD = "hibernate.connection.password";</v>
      </c>
    </row>
    <row r="24" spans="1:2" x14ac:dyDescent="0.35">
      <c r="A24" t="str">
        <f>'Property-Definition'!A24</f>
        <v>DB.CONN.FACTORY.GET</v>
      </c>
      <c r="B24" t="str">
        <f>"public final static String "
&amp; UPPER(
    SUBSTITUTE(
        SUBSTITUTE('Property-Definition'!D24,"[X]",""),".","_")
)
&amp; " = "
&amp; CHAR(34)
&amp; 'Property-Definition'!D24
&amp; CHAR(34)
&amp; ";"</f>
        <v>public final static String FACTORY_FACTORYID = "factory[X].factoryID";</v>
      </c>
    </row>
    <row r="25" spans="1:2" x14ac:dyDescent="0.35">
      <c r="A25" t="str">
        <f>'Property-Definition'!A25</f>
        <v>DB.CONN.FACTORY.GET</v>
      </c>
      <c r="B25" t="str">
        <f>"public final static String "
&amp; UPPER(
    SUBSTITUTE(
        SUBSTITUTE('Property-Definition'!D25,"[X]",""),".","_")
)
&amp; " = "
&amp; CHAR(34)
&amp; 'Property-Definition'!D25
&amp; CHAR(34)
&amp; ";"</f>
        <v>public final static String FACTORY_DBSYSTEM = "factory[X].dbSystem";</v>
      </c>
    </row>
    <row r="26" spans="1:2" x14ac:dyDescent="0.35">
      <c r="A26" t="str">
        <f>'Property-Definition'!A26</f>
        <v>DB.CONN.FACTORY.GET</v>
      </c>
      <c r="B26" t="str">
        <f>"public final static String "
&amp; UPPER(
    SUBSTITUTE(
        SUBSTITUTE('Property-Definition'!D26,"[X]",""),".","_")
)
&amp; " = "
&amp; CHAR(34)
&amp; 'Property-Definition'!D26
&amp; CHAR(34)
&amp; ";"</f>
        <v>public final static String FACTORY_HIBERNATE_CONNECTION_DRIVER_CLASS = "factory[X].hibernate.connection.driver_class";</v>
      </c>
    </row>
    <row r="27" spans="1:2" x14ac:dyDescent="0.35">
      <c r="A27" t="str">
        <f>'Property-Definition'!A27</f>
        <v>DB.CONN.FACTORY.GET</v>
      </c>
      <c r="B27" t="str">
        <f>"public final static String "
&amp; UPPER(
    SUBSTITUTE(
        SUBSTITUTE('Property-Definition'!D27,"[X]",""),".","_")
)
&amp; " = "
&amp; CHAR(34)
&amp; 'Property-Definition'!D27
&amp; CHAR(34)
&amp; ";"</f>
        <v>public final static String FACTORY_HIBERNATE_CONNECTION_URL = "factory[X].hibernate.connection.url";</v>
      </c>
    </row>
    <row r="28" spans="1:2" x14ac:dyDescent="0.35">
      <c r="A28" t="str">
        <f>'Property-Definition'!A28</f>
        <v>DB.CONN.FACTORY.GET</v>
      </c>
      <c r="B28" t="str">
        <f>"public final static String "
&amp; UPPER(
    SUBSTITUTE(
        SUBSTITUTE('Property-Definition'!D28,"[X]",""),".","_")
)
&amp; " = "
&amp; CHAR(34)
&amp; 'Property-Definition'!D28
&amp; CHAR(34)
&amp; ";"</f>
        <v>public final static String FACTORY_HIBERNATE_DEFAULT_CATALOG = "factory[X].hibernate.default_catalog";</v>
      </c>
    </row>
    <row r="29" spans="1:2" x14ac:dyDescent="0.35">
      <c r="A29" t="str">
        <f>'Property-Definition'!A29</f>
        <v>DB.CONN.FACTORY.GET</v>
      </c>
      <c r="B29" t="str">
        <f>"public final static String "
&amp; UPPER(
    SUBSTITUTE(
        SUBSTITUTE('Property-Definition'!D29,"[X]",""),".","_")
)
&amp; " = "
&amp; CHAR(34)
&amp; 'Property-Definition'!D29
&amp; CHAR(34)
&amp; ";"</f>
        <v>public final static String FACTORY_HIBERNATE_CONNECTION_USERNAME = "factory[X].hibernate.connection.username";</v>
      </c>
    </row>
    <row r="30" spans="1:2" x14ac:dyDescent="0.35">
      <c r="A30" t="str">
        <f>'Property-Definition'!A30</f>
        <v>DB.CONN.FACTORY.GET</v>
      </c>
      <c r="B30" t="str">
        <f>"public final static String "
&amp; UPPER(
    SUBSTITUTE(
        SUBSTITUTE('Property-Definition'!D30,"[X]",""),".","_")
)
&amp; " = "
&amp; CHAR(34)
&amp; 'Property-Definition'!D30
&amp; CHAR(34)
&amp; ";"</f>
        <v>public final static String FACTORY_HIBERNATE_CONNECTION_PASSWORD = "factory[X].hibernate.connection.password";</v>
      </c>
    </row>
    <row r="31" spans="1:2" x14ac:dyDescent="0.35">
      <c r="A31" t="str">
        <f>'Property-Definition'!A31</f>
        <v>DB.CONN.FACTORY.SET</v>
      </c>
      <c r="B31" t="str">
        <f>"public final static String "
&amp; UPPER(
    SUBSTITUTE(
        SUBSTITUTE('Property-Definition'!D31,"[X]",""),".","_")
)
&amp; " = "
&amp; CHAR(34)
&amp; 'Property-Definition'!D31
&amp; CHAR(34)
&amp; ";"</f>
        <v>public final static String FACTORYID = "factoryID";</v>
      </c>
    </row>
    <row r="32" spans="1:2" x14ac:dyDescent="0.35">
      <c r="A32" t="str">
        <f>'Property-Definition'!A32</f>
        <v>DB.CONN.FACTORY.SET</v>
      </c>
      <c r="B32" t="str">
        <f>"public final static String "
&amp; UPPER(
    SUBSTITUTE(
        SUBSTITUTE('Property-Definition'!D32,"[X]",""),".","_")
)
&amp; " = "
&amp; CHAR(34)
&amp; 'Property-Definition'!D32
&amp; CHAR(34)
&amp; ";"</f>
        <v>public final static String DBSYSTEM = "dbSystem";</v>
      </c>
    </row>
    <row r="33" spans="1:2" x14ac:dyDescent="0.35">
      <c r="A33" t="str">
        <f>'Property-Definition'!A33</f>
        <v>DB.CONN.FACTORY.SET</v>
      </c>
      <c r="B33" t="str">
        <f>"public final static String "
&amp; UPPER(
    SUBSTITUTE(
        SUBSTITUTE('Property-Definition'!D33,"[X]",""),".","_")
)
&amp; " = "
&amp; CHAR(34)
&amp; 'Property-Definition'!D33
&amp; CHAR(34)
&amp; ";"</f>
        <v>public final static String HIBERNATE_CONNECTION_DRIVER_CLASS = "hibernate.connection.driver_class";</v>
      </c>
    </row>
    <row r="34" spans="1:2" x14ac:dyDescent="0.35">
      <c r="A34" t="str">
        <f>'Property-Definition'!A34</f>
        <v>DB.CONN.FACTORY.SET</v>
      </c>
      <c r="B34" t="str">
        <f>"public final static String "
&amp; UPPER(
    SUBSTITUTE(
        SUBSTITUTE('Property-Definition'!D34,"[X]",""),".","_")
)
&amp; " = "
&amp; CHAR(34)
&amp; 'Property-Definition'!D34
&amp; CHAR(34)
&amp; ";"</f>
        <v>public final static String HIBERNATE_CONNECTION_URL = "hibernate.connection.url";</v>
      </c>
    </row>
    <row r="35" spans="1:2" x14ac:dyDescent="0.35">
      <c r="A35" t="str">
        <f>'Property-Definition'!A35</f>
        <v>DB.CONN.FACTORY.SET</v>
      </c>
      <c r="B35" t="str">
        <f>"public final static String "
&amp; UPPER(
    SUBSTITUTE(
        SUBSTITUTE('Property-Definition'!D35,"[X]",""),".","_")
)
&amp; " = "
&amp; CHAR(34)
&amp; 'Property-Definition'!D35
&amp; CHAR(34)
&amp; ";"</f>
        <v>public final static String HIBERNATE_DEFAULT_CATALOG = "hibernate.default_catalog";</v>
      </c>
    </row>
    <row r="36" spans="1:2" x14ac:dyDescent="0.35">
      <c r="A36" t="str">
        <f>'Property-Definition'!A36</f>
        <v>DB.CONN.FACTORY.SET</v>
      </c>
      <c r="B36" t="str">
        <f>"public final static String "
&amp; UPPER(
    SUBSTITUTE(
        SUBSTITUTE('Property-Definition'!D36,"[X]",""),".","_")
)
&amp; " = "
&amp; CHAR(34)
&amp; 'Property-Definition'!D36
&amp; CHAR(34)
&amp; ";"</f>
        <v>public final static String HIBERNATE_CONNECTION_USERNAME = "hibernate.connection.username";</v>
      </c>
    </row>
    <row r="37" spans="1:2" x14ac:dyDescent="0.35">
      <c r="A37" t="str">
        <f>'Property-Definition'!A37</f>
        <v>DB.CONN.FACTORY.SET</v>
      </c>
      <c r="B37" t="str">
        <f>"public final static String "
&amp; UPPER(
    SUBSTITUTE(
        SUBSTITUTE('Property-Definition'!D37,"[X]",""),".","_")
)
&amp; " = "
&amp; CHAR(34)
&amp; 'Property-Definition'!D37
&amp; CHAR(34)
&amp; ";"</f>
        <v>public final static String HIBERNATE_CONNECTION_PASSWORD = "hibernate.connection.password";</v>
      </c>
    </row>
    <row r="38" spans="1:2" x14ac:dyDescent="0.35">
      <c r="A38" t="str">
        <f>'Property-Definition'!A38</f>
        <v>DB.CONN.TEST</v>
      </c>
      <c r="B38" t="str">
        <f>"public final static String "
&amp; UPPER(
    SUBSTITUTE(
        SUBSTITUTE('Property-Definition'!D38,"[X]",""),".","_")
)
&amp; " = "
&amp; CHAR(34)
&amp; 'Property-Definition'!D38
&amp; CHAR(34)
&amp; ";"</f>
        <v>public final static String DBSYSTEM = "dbSystem";</v>
      </c>
    </row>
    <row r="39" spans="1:2" x14ac:dyDescent="0.35">
      <c r="A39" t="str">
        <f>'Property-Definition'!A39</f>
        <v>DB.CONN.TEST</v>
      </c>
      <c r="B39" t="str">
        <f>"public final static String "
&amp; UPPER(
    SUBSTITUTE(
        SUBSTITUTE('Property-Definition'!D39,"[X]",""),".","_")
)
&amp; " = "
&amp; CHAR(34)
&amp; 'Property-Definition'!D39
&amp; CHAR(34)
&amp; ";"</f>
        <v>public final static String HIBERNATE_CONNECTION_DRIVER_CLASS = "hibernate.connection.driver_class";</v>
      </c>
    </row>
    <row r="40" spans="1:2" x14ac:dyDescent="0.35">
      <c r="A40" t="str">
        <f>'Property-Definition'!A40</f>
        <v>DB.CONN.TEST</v>
      </c>
      <c r="B40" t="str">
        <f>"public final static String "
&amp; UPPER(
    SUBSTITUTE(
        SUBSTITUTE('Property-Definition'!D40,"[X]",""),".","_")
)
&amp; " = "
&amp; CHAR(34)
&amp; 'Property-Definition'!D40
&amp; CHAR(34)
&amp; ";"</f>
        <v>public final static String HIBERNATE_CONNECTION_URL = "hibernate.connection.url";</v>
      </c>
    </row>
    <row r="41" spans="1:2" x14ac:dyDescent="0.35">
      <c r="A41" t="str">
        <f>'Property-Definition'!A41</f>
        <v>DB.CONN.TEST</v>
      </c>
      <c r="B41" t="str">
        <f>"public final static String "
&amp; UPPER(
    SUBSTITUTE(
        SUBSTITUTE('Property-Definition'!D41,"[X]",""),".","_")
)
&amp; " = "
&amp; CHAR(34)
&amp; 'Property-Definition'!D41
&amp; CHAR(34)
&amp; ";"</f>
        <v>public final static String HIBERNATE_DEFAULT_CATALOG = "hibernate.default_catalog";</v>
      </c>
    </row>
    <row r="42" spans="1:2" x14ac:dyDescent="0.35">
      <c r="A42" t="str">
        <f>'Property-Definition'!A42</f>
        <v>DB.CONN.TEST</v>
      </c>
      <c r="B42" t="str">
        <f>"public final static String "
&amp; UPPER(
    SUBSTITUTE(
        SUBSTITUTE('Property-Definition'!D42,"[X]",""),".","_")
)
&amp; " = "
&amp; CHAR(34)
&amp; 'Property-Definition'!D42
&amp; CHAR(34)
&amp; ";"</f>
        <v>public final static String HIBERNATE_CONNECTION_USERNAME = "hibernate.connection.username";</v>
      </c>
    </row>
    <row r="43" spans="1:2" x14ac:dyDescent="0.35">
      <c r="A43" t="str">
        <f>'Property-Definition'!A43</f>
        <v>DB.CONN.TEST</v>
      </c>
      <c r="B43" t="str">
        <f>"public final static String "
&amp; UPPER(
    SUBSTITUTE(
        SUBSTITUTE('Property-Definition'!D43,"[X]",""),".","_")
)
&amp; " = "
&amp; CHAR(34)
&amp; 'Property-Definition'!D43
&amp; CHAR(34)
&amp; ";"</f>
        <v>public final static String HIBERNATE_CONNECTION_PASSWORD = "hibernate.connection.password";</v>
      </c>
    </row>
    <row r="44" spans="1:2" x14ac:dyDescent="0.35">
      <c r="A44" t="str">
        <f>'Property-Definition'!A44</f>
        <v>EXEC.MODE</v>
      </c>
      <c r="B44" t="str">
        <f>"public final static String "
&amp; UPPER(
    SUBSTITUTE(
        SUBSTITUTE('Property-Definition'!D44,"[X]",""),".","_")
)
&amp; " = "
&amp; CHAR(34)
&amp; 'Property-Definition'!D44
&amp; CHAR(34)
&amp; ";"</f>
        <v>public final static String EXEC_MODE = "exec.mode";</v>
      </c>
    </row>
    <row r="45" spans="1:2" x14ac:dyDescent="0.35">
      <c r="A45" t="str">
        <f>'Property-Definition'!A45</f>
        <v>EXEC.MODE</v>
      </c>
      <c r="B45" t="str">
        <f>"public final static String "
&amp; UPPER(
    SUBSTITUTE(
        SUBSTITUTE('Property-Definition'!D45,"[X]",""),".","_")
)
&amp; " = "
&amp; CHAR(34)
&amp; 'Property-Definition'!D45
&amp; CHAR(34)
&amp; ";"</f>
        <v>public final static String SERVER_MASTER_URL = "server.master.url";</v>
      </c>
    </row>
    <row r="46" spans="1:2" x14ac:dyDescent="0.35">
      <c r="A46" t="str">
        <f>'Property-Definition'!A46</f>
        <v>EXEC.MODE</v>
      </c>
      <c r="B46" t="str">
        <f>"public final static String "
&amp; UPPER(
    SUBSTITUTE(
        SUBSTITUTE('Property-Definition'!D46,"[X]",""),".","_")
)
&amp; " = "
&amp; CHAR(34)
&amp; 'Property-Definition'!D46
&amp; CHAR(34)
&amp; ";"</f>
        <v>public final static String SERVER_MASTER_PORT = "server.master.port";</v>
      </c>
    </row>
    <row r="47" spans="1:2" x14ac:dyDescent="0.35">
      <c r="A47" t="str">
        <f>'Property-Definition'!A47</f>
        <v>EXEC.MODE</v>
      </c>
      <c r="B47" t="str">
        <f>"public final static String "
&amp; UPPER(
    SUBSTITUTE(
        SUBSTITUTE('Property-Definition'!D47,"[X]",""),".","_")
)
&amp; " = "
&amp; CHAR(34)
&amp; 'Property-Definition'!D47
&amp; CHAR(34)
&amp; ";"</f>
        <v>public final static String SERVER_MASTER_PORT_MTP = "server.master.port.mtp";</v>
      </c>
    </row>
    <row r="48" spans="1:2" x14ac:dyDescent="0.35">
      <c r="A48" t="str">
        <f>'Property-Definition'!A48</f>
        <v>EXEC.MODE</v>
      </c>
      <c r="B48" t="str">
        <f>"public final static String "
&amp; UPPER(
    SUBSTITUTE(
        SUBSTITUTE('Property-Definition'!D48,"[X]",""),".","_")
)
&amp; " = "
&amp; CHAR(34)
&amp; 'Property-Definition'!D48
&amp; CHAR(34)
&amp; ";"</f>
        <v>public final static String SERVER_MASTER_PROTOCOL = "server.master.protocol";</v>
      </c>
    </row>
    <row r="49" spans="1:2" x14ac:dyDescent="0.35">
      <c r="A49" t="str">
        <f>'Property-Definition'!A49</f>
        <v>EXEC.MODE</v>
      </c>
      <c r="B49" t="str">
        <f>"public final static String "
&amp; UPPER(
    SUBSTITUTE(
        SUBSTITUTE('Property-Definition'!D49,"[X]",""),".","_")
)
&amp; " = "
&amp; CHAR(34)
&amp; 'Property-Definition'!D49
&amp; CHAR(34)
&amp; ";"</f>
        <v>public final static String LOCAL_MTP_CREATION = "local.mtp.creation";</v>
      </c>
    </row>
    <row r="50" spans="1:2" x14ac:dyDescent="0.35">
      <c r="A50" t="str">
        <f>'Property-Definition'!A50</f>
        <v>EXEC.MODE</v>
      </c>
      <c r="B50" t="str">
        <f>"public final static String "
&amp; UPPER(
    SUBSTITUTE(
        SUBSTITUTE('Property-Definition'!D50,"[X]",""),".","_")
)
&amp; " = "
&amp; CHAR(34)
&amp; 'Property-Definition'!D50
&amp; CHAR(34)
&amp; ";"</f>
        <v>public final static String LOCAL_MTP_URL = "local.mtp.url";</v>
      </c>
    </row>
    <row r="51" spans="1:2" x14ac:dyDescent="0.35">
      <c r="A51" t="str">
        <f>'Property-Definition'!A51</f>
        <v>EXEC.MODE</v>
      </c>
      <c r="B51" t="str">
        <f>"public final static String "
&amp; UPPER(
    SUBSTITUTE(
        SUBSTITUTE('Property-Definition'!D51,"[X]",""),".","_")
)
&amp; " = "
&amp; CHAR(34)
&amp; 'Property-Definition'!D51
&amp; CHAR(34)
&amp; ";"</f>
        <v>public final static String LOCAL_MTP_PORT = "local.mtp.port";</v>
      </c>
    </row>
    <row r="52" spans="1:2" x14ac:dyDescent="0.35">
      <c r="A52" t="str">
        <f>'Property-Definition'!A52</f>
        <v>EXEC.MODE</v>
      </c>
      <c r="B52" t="str">
        <f>"public final static String "
&amp; UPPER(
    SUBSTITUTE(
        SUBSTITUTE('Property-Definition'!D52,"[X]",""),".","_")
)
&amp; " = "
&amp; CHAR(34)
&amp; 'Property-Definition'!D52
&amp; CHAR(34)
&amp; ";"</f>
        <v>public final static String LOCAL_MTP_PROTOCOL = "local.mtp.protocol";</v>
      </c>
    </row>
    <row r="53" spans="1:2" x14ac:dyDescent="0.35">
      <c r="A53" t="str">
        <f>'Property-Definition'!A53</f>
        <v>EXEC.MODE</v>
      </c>
      <c r="B53" t="str">
        <f>"public final static String "
&amp; UPPER(
    SUBSTITUTE(
        SUBSTITUTE('Property-Definition'!D53,"[X]",""),".","_")
)
&amp; " = "
&amp; CHAR(34)
&amp; 'Property-Definition'!D53
&amp; CHAR(34)
&amp; ";"</f>
        <v>public final static String EMBEDDEDSYSTEM_PROJECT = "embeddedsystem.project";</v>
      </c>
    </row>
    <row r="54" spans="1:2" x14ac:dyDescent="0.35">
      <c r="A54" t="str">
        <f>'Property-Definition'!A54</f>
        <v>EXEC.MODE</v>
      </c>
      <c r="B54" t="str">
        <f>"public final static String "
&amp; UPPER(
    SUBSTITUTE(
        SUBSTITUTE('Property-Definition'!D54,"[X]",""),".","_")
)
&amp; " = "
&amp; CHAR(34)
&amp; 'Property-Definition'!D54
&amp; CHAR(34)
&amp; ";"</f>
        <v>public final static String DEVICE_SYSTEM_EXEC_MODE = "device_system_exec_mode";</v>
      </c>
    </row>
    <row r="55" spans="1:2" x14ac:dyDescent="0.35">
      <c r="A55" t="str">
        <f>'Property-Definition'!A55</f>
        <v>EXEC.MODE</v>
      </c>
      <c r="B55" t="str">
        <f>"public final static String "
&amp; UPPER(
    SUBSTITUTE(
        SUBSTITUTE('Property-Definition'!D55,"[X]",""),".","_")
)
&amp; " = "
&amp; CHAR(34)
&amp; 'Property-Definition'!D55
&amp; CHAR(34)
&amp; ";"</f>
        <v>public final static String EMBEDDEDSYSTEM_AGENT_CLASSNAME = "embeddedsystem.agent[X].classname";</v>
      </c>
    </row>
    <row r="56" spans="1:2" x14ac:dyDescent="0.35">
      <c r="A56" t="str">
        <f>'Property-Definition'!A56</f>
        <v>EXEC.MODE</v>
      </c>
      <c r="B56" t="str">
        <f>"public final static String "
&amp; UPPER(
    SUBSTITUTE(
        SUBSTITUTE('Property-Definition'!D56,"[X]",""),".","_")
)
&amp; " = "
&amp; CHAR(34)
&amp; 'Property-Definition'!D56
&amp; CHAR(34)
&amp; ";"</f>
        <v>public final static String EMBEDDEDSYSTEM_AGENT_AGENTNAME = "embeddedsystem.agent[X].agentname";</v>
      </c>
    </row>
    <row r="57" spans="1:2" x14ac:dyDescent="0.35">
      <c r="A57" t="str">
        <f>'Property-Definition'!A57</f>
        <v>EXEC.MODE</v>
      </c>
      <c r="B57" t="str">
        <f>"public final static String "
&amp; UPPER(
    SUBSTITUTE(
        SUBSTITUTE('Property-Definition'!D57,"[X]",""),".","_")
)
&amp; " = "
&amp; CHAR(34)
&amp; 'Property-Definition'!D57
&amp; CHAR(34)
&amp; ";"</f>
        <v>public final static String SERVICE_SERVICE_SETUP = "service.service_setup";</v>
      </c>
    </row>
    <row r="58" spans="1:2" x14ac:dyDescent="0.35">
      <c r="A58" t="str">
        <f>'Property-Definition'!A58</f>
        <v>EXEC.MODE</v>
      </c>
      <c r="B58" t="str">
        <f>"public final static String "
&amp; UPPER(
    SUBSTITUTE(
        SUBSTITUTE('Property-Definition'!D58,"[X]",""),".","_")
)
&amp; " = "
&amp; CHAR(34)
&amp; 'Property-Definition'!D58
&amp; CHAR(34)
&amp; ";"</f>
        <v>public final static String LOCAL_IP_SELECTION = "local.ip.selection[X]";</v>
      </c>
    </row>
    <row r="59" spans="1:2" x14ac:dyDescent="0.35">
      <c r="A59" t="str">
        <f>'Property-Definition'!A59</f>
        <v>EXEC.MODE</v>
      </c>
      <c r="B59" t="str">
        <f>"public final static String "
&amp; UPPER(
    SUBSTITUTE(
        SUBSTITUTE('Property-Definition'!D59,"[X]",""),".","_")
)
&amp; " = "
&amp; CHAR(34)
&amp; 'Property-Definition'!D59
&amp; CHAR(34)
&amp; ";"</f>
        <v>public final static String FACTORY_ID = "factory_id";</v>
      </c>
    </row>
    <row r="60" spans="1:2" x14ac:dyDescent="0.35">
      <c r="A60" t="e">
        <f>'Property-Definition'!#REF!</f>
        <v>#REF!</v>
      </c>
      <c r="B60" t="e">
        <f>"public final static String "
&amp; UPPER(
    SUBSTITUTE(
        SUBSTITUTE('Property-Definition'!#REF!,"[X]",""),".","_")
)
&amp; " = "
&amp; CHAR(34)
&amp; 'Property-Definition'!#REF!
&amp; CHAR(34)
&amp; ";"</f>
        <v>#REF!</v>
      </c>
    </row>
    <row r="61" spans="1:2" x14ac:dyDescent="0.35">
      <c r="A61" t="str">
        <f>'Property-Definition'!A60</f>
        <v>AWB.AGENTS</v>
      </c>
      <c r="B61" t="str">
        <f>"public final static String "
&amp; UPPER(
    SUBSTITUTE(
        SUBSTITUTE('Property-Definition'!D60,"[X]",""),".","_")
)
&amp; " = "
&amp; CHAR(34)
&amp; 'Property-Definition'!D60
&amp; CHAR(34)
&amp; ";"</f>
        <v>public final static String AGENT_CLASSNAME = "agent[X].classname";</v>
      </c>
    </row>
    <row r="62" spans="1:2" x14ac:dyDescent="0.35">
      <c r="A62" t="str">
        <f>'Property-Definition'!A61</f>
        <v>PROJECTS</v>
      </c>
      <c r="B62" t="str">
        <f>"public final static String "
&amp; UPPER(
    SUBSTITUTE(
        SUBSTITUTE('Property-Definition'!D61,"[X]",""),".","_")
)
&amp; " = "
&amp; CHAR(34)
&amp; 'Property-Definition'!D61
&amp; CHAR(34)
&amp; ";"</f>
        <v>public final static String PROJECT = "project[X]";</v>
      </c>
    </row>
    <row r="63" spans="1:2" x14ac:dyDescent="0.35">
      <c r="A63" t="str">
        <f>'Property-Definition'!A62</f>
        <v>PROJECT.SETUPS[X]</v>
      </c>
      <c r="B63" t="str">
        <f>"public final static String "
&amp; UPPER(
    SUBSTITUTE(
        SUBSTITUTE('Property-Definition'!D62,"[X]",""),".","_")
)
&amp; " = "
&amp; CHAR(34)
&amp; 'Property-Definition'!D62
&amp; CHAR(34)
&amp; ";"</f>
        <v>public final static String PROJECT_SETUP = "project[X].setup[X]";</v>
      </c>
    </row>
    <row r="64" spans="1:2" x14ac:dyDescent="0.35">
      <c r="A64" t="str">
        <f>'Property-Definition'!A63</f>
        <v>EXEC.MASTER.SLAVES.GET</v>
      </c>
      <c r="B64" t="str">
        <f>"public final static String "
&amp; UPPER(
    SUBSTITUTE(
        SUBSTITUTE('Property-Definition'!D63,"[X]",""),".","_")
)
&amp; " = "
&amp; CHAR(34)
&amp; 'Property-Definition'!D63
&amp; CHAR(34)
&amp; ";"</f>
        <v>public final static String BGPLATFORM_CONTACTAGENT = "bgplatform[X].contactagent";</v>
      </c>
    </row>
    <row r="65" spans="1:2" x14ac:dyDescent="0.35">
      <c r="A65" t="str">
        <f>'Property-Definition'!A60</f>
        <v>AWB.AGENTS</v>
      </c>
      <c r="B65" t="str">
        <f>"public final static String "
&amp; UPPER(
    SUBSTITUTE(
        SUBSTITUTE('Property-Definition'!D64,"[X]",""),".","_")
)
&amp; " = "
&amp; CHAR(34)
&amp; 'Property-Definition'!D64
&amp; CHAR(34)
&amp; ";"</f>
        <v>public final static String BGPLATFORM_PLATFORMNAME = "bgplatform[X].platformname";</v>
      </c>
    </row>
    <row r="66" spans="1:2" x14ac:dyDescent="0.35">
      <c r="A66" t="str">
        <f>'Property-Definition'!A61</f>
        <v>PROJECTS</v>
      </c>
      <c r="B66" t="str">
        <f>"public final static String "
&amp; UPPER(
    SUBSTITUTE(
        SUBSTITUTE('Property-Definition'!D65,"[X]",""),".","_")
)
&amp; " = "
&amp; CHAR(34)
&amp; 'Property-Definition'!D65
&amp; CHAR(34)
&amp; ";"</f>
        <v>public final static String BGPLATFORM_SERVER = "bgplatform[X].server";</v>
      </c>
    </row>
    <row r="67" spans="1:2" x14ac:dyDescent="0.35">
      <c r="A67" t="str">
        <f>'Property-Definition'!A62</f>
        <v>PROJECT.SETUPS[X]</v>
      </c>
      <c r="B67" t="str">
        <f>"public final static String "
&amp; UPPER(
    SUBSTITUTE(
        SUBSTITUTE('Property-Definition'!D66,"[X]",""),".","_")
)
&amp; " = "
&amp; CHAR(34)
&amp; 'Property-Definition'!D66
&amp; CHAR(34)
&amp; ";"</f>
        <v>public final static String BGPLATFORM_IPADDRESS = "bgplatform[X].ipaddress";</v>
      </c>
    </row>
    <row r="68" spans="1:2" x14ac:dyDescent="0.35">
      <c r="A68" t="str">
        <f>'Property-Definition'!A67</f>
        <v>EXEC.MASTER.SLAVES.GET</v>
      </c>
      <c r="B68" t="str">
        <f>"public final static String "
&amp; UPPER(
    SUBSTITUTE(
        SUBSTITUTE('Property-Definition'!D67,"[X]",""),".","_")
)
&amp; " = "
&amp; CHAR(34)
&amp; 'Property-Definition'!D67
&amp; CHAR(34)
&amp; ";"</f>
        <v>public final static String BGPLATFORM_URL = "bgplatform[X].url";</v>
      </c>
    </row>
    <row r="69" spans="1:2" x14ac:dyDescent="0.35">
      <c r="A69" t="str">
        <f>'Property-Definition'!A68</f>
        <v>EXEC.MASTER.SLAVES.GET</v>
      </c>
      <c r="B69" t="str">
        <f>"public final static String "
&amp; UPPER(
    SUBSTITUTE(
        SUBSTITUTE('Property-Definition'!D68,"[X]",""),".","_")
)
&amp; " = "
&amp; CHAR(34)
&amp; 'Property-Definition'!D68
&amp; CHAR(34)
&amp; ";"</f>
        <v>public final static String BGPLATFORM_JADEPORT = "bgplatform[X].jadeport";</v>
      </c>
    </row>
    <row r="70" spans="1:2" x14ac:dyDescent="0.35">
      <c r="A70" t="str">
        <f>'Property-Definition'!A69</f>
        <v>EXEC.MASTER.SLAVES.GET</v>
      </c>
      <c r="B70" t="str">
        <f>"public final static String "
&amp; UPPER(
    SUBSTITUTE(
        SUBSTITUTE('Property-Definition'!D69,"[X]",""),".","_")
)
&amp; " = "
&amp; CHAR(34)
&amp; 'Property-Definition'!D69
&amp; CHAR(34)
&amp; ";"</f>
        <v>public final static String BGPLATFORM_HTTPMTP = "bgplatform[X].httpmtp";</v>
      </c>
    </row>
    <row r="71" spans="1:2" x14ac:dyDescent="0.35">
      <c r="A71" t="str">
        <f>'Property-Definition'!A70</f>
        <v>EXEC.MASTER.SLAVES.GET</v>
      </c>
      <c r="B71" t="str">
        <f>"public final static String "
&amp; UPPER(
    SUBSTITUTE(
        SUBSTITUTE('Property-Definition'!D70,"[X]",""),".","_")
)
&amp; " = "
&amp; CHAR(34)
&amp; 'Property-Definition'!D70
&amp; CHAR(34)
&amp; ";"</f>
        <v>public final static String BGPLATFORM_VERSIONMAJOR = "bgplatform[X].versionmajor";</v>
      </c>
    </row>
    <row r="72" spans="1:2" x14ac:dyDescent="0.35">
      <c r="A72" t="str">
        <f>'Property-Definition'!A71</f>
        <v>EXEC.MASTER.SLAVES.GET</v>
      </c>
      <c r="B72" t="str">
        <f>"public final static String "
&amp; UPPER(
    SUBSTITUTE(
        SUBSTITUTE('Property-Definition'!D71,"[X]",""),".","_")
)
&amp; " = "
&amp; CHAR(34)
&amp; 'Property-Definition'!D71
&amp; CHAR(34)
&amp; ";"</f>
        <v>public final static String BGPLATFORM_VERSIONMINOR = "bgplatform[X].versionminor";</v>
      </c>
    </row>
    <row r="73" spans="1:2" x14ac:dyDescent="0.35">
      <c r="A73" t="str">
        <f>'Property-Definition'!A72</f>
        <v>EXEC.MASTER.SLAVES.GET</v>
      </c>
      <c r="B73" t="str">
        <f>"public final static String "
&amp; UPPER(
    SUBSTITUTE(
        SUBSTITUTE('Property-Definition'!D72,"[X]",""),".","_")
)
&amp; " = "
&amp; CHAR(34)
&amp; 'Property-Definition'!D72
&amp; CHAR(34)
&amp; ";"</f>
        <v>public final static String BGPLATFORM_VERSIONMICRO = "bgplatform[X].versionmicro";</v>
      </c>
    </row>
    <row r="74" spans="1:2" x14ac:dyDescent="0.35">
      <c r="A74" t="str">
        <f>'Property-Definition'!A73</f>
        <v>EXEC.MASTER.SLAVES.GET</v>
      </c>
      <c r="B74" t="str">
        <f>"public final static String "
&amp; UPPER(
    SUBSTITUTE(
        SUBSTITUTE('Property-Definition'!D73,"[X]",""),".","_")
)
&amp; " = "
&amp; CHAR(34)
&amp; 'Property-Definition'!D73
&amp; CHAR(34)
&amp; ";"</f>
        <v>public final static String BGPLATFORM_VERSIONBUILD = "bgplatform[X].versionbuild";</v>
      </c>
    </row>
    <row r="75" spans="1:2" x14ac:dyDescent="0.35">
      <c r="A75" t="str">
        <f>'Property-Definition'!A74</f>
        <v>EXEC.MASTER.SLAVES.GET</v>
      </c>
      <c r="B75" t="str">
        <f>"public final static String "
&amp; UPPER(
    SUBSTITUTE(
        SUBSTITUTE('Property-Definition'!D74,"[X]",""),".","_")
)
&amp; " = "
&amp; CHAR(34)
&amp; 'Property-Definition'!D74
&amp; CHAR(34)
&amp; ";"</f>
        <v>public final static String BGPLATFORM_OS_NAME = "bgplatform[X].os.name";</v>
      </c>
    </row>
    <row r="76" spans="1:2" x14ac:dyDescent="0.35">
      <c r="A76" t="str">
        <f>'Property-Definition'!A75</f>
        <v>EXEC.MASTER.SLAVES.GET</v>
      </c>
      <c r="B76" t="str">
        <f>"public final static String "
&amp; UPPER(
    SUBSTITUTE(
        SUBSTITUTE('Property-Definition'!D75,"[X]",""),".","_")
)
&amp; " = "
&amp; CHAR(34)
&amp; 'Property-Definition'!D75
&amp; CHAR(34)
&amp; ";"</f>
        <v>public final static String BGPLATFORM_OS_VERSION = "bgplatform[X].os.version";</v>
      </c>
    </row>
    <row r="77" spans="1:2" x14ac:dyDescent="0.35">
      <c r="A77" t="str">
        <f>'Property-Definition'!A76</f>
        <v>EXEC.MASTER.SLAVES.GET</v>
      </c>
      <c r="B77" t="str">
        <f>"public final static String "
&amp; UPPER(
    SUBSTITUTE(
        SUBSTITUTE('Property-Definition'!D76,"[X]",""),".","_")
)
&amp; " = "
&amp; CHAR(34)
&amp; 'Property-Definition'!D76
&amp; CHAR(34)
&amp; ";"</f>
        <v>public final static String BGPLATFORM_OS_ARCHITECTURE = "bgplatform[X].os.architecture";</v>
      </c>
    </row>
    <row r="78" spans="1:2" x14ac:dyDescent="0.35">
      <c r="A78" t="str">
        <f>'Property-Definition'!A77</f>
        <v>EXEC.MASTER.SLAVES.GET</v>
      </c>
      <c r="B78" t="str">
        <f>"public final static String "
&amp; UPPER(
    SUBSTITUTE(
        SUBSTITUTE('Property-Definition'!D77,"[X]",""),".","_")
)
&amp; " = "
&amp; CHAR(34)
&amp; 'Property-Definition'!D77
&amp; CHAR(34)
&amp; ";"</f>
        <v>public final static String BGPLATFORM_CPU_NAME = "bgplatform[X].cpu.name";</v>
      </c>
    </row>
    <row r="79" spans="1:2" x14ac:dyDescent="0.35">
      <c r="A79" t="str">
        <f>'Property-Definition'!A78</f>
        <v>EXEC.MASTER.SLAVES.GET</v>
      </c>
      <c r="B79" t="str">
        <f>"public final static String "
&amp; UPPER(
    SUBSTITUTE(
        SUBSTITUTE('Property-Definition'!D78,"[X]",""),".","_")
)
&amp; " = "
&amp; CHAR(34)
&amp; 'Property-Definition'!D78
&amp; CHAR(34)
&amp; ";"</f>
        <v>public final static String BGPLATFORM_CPU_NUMLOGICAL = "bgplatform[X].cpu.numlogical";</v>
      </c>
    </row>
    <row r="80" spans="1:2" x14ac:dyDescent="0.35">
      <c r="A80" t="str">
        <f>'Property-Definition'!A79</f>
        <v>EXEC.MASTER.SLAVES.GET</v>
      </c>
      <c r="B80" t="str">
        <f>"public final static String "
&amp; UPPER(
    SUBSTITUTE(
        SUBSTITUTE('Property-Definition'!D79,"[X]",""),".","_")
)
&amp; " = "
&amp; CHAR(34)
&amp; 'Property-Definition'!D79
&amp; CHAR(34)
&amp; ";"</f>
        <v>public final static String BGPLATFORM_CPU_NUMPHYSICAL = "bgplatform[X].cpu.numphysical";</v>
      </c>
    </row>
    <row r="81" spans="1:2" x14ac:dyDescent="0.35">
      <c r="A81" t="str">
        <f>'Property-Definition'!A80</f>
        <v>EXEC.MASTER.SLAVES.GET</v>
      </c>
      <c r="B81" t="str">
        <f>"public final static String "
&amp; UPPER(
    SUBSTITUTE(
        SUBSTITUTE('Property-Definition'!D80,"[X]",""),".","_")
)
&amp; " = "
&amp; CHAR(34)
&amp; 'Property-Definition'!D80
&amp; CHAR(34)
&amp; ";"</f>
        <v>public final static String BGPLATFORM_CPU_SPEEDMHZ = "bgplatform[X].cpu.speedmhz";</v>
      </c>
    </row>
    <row r="82" spans="1:2" x14ac:dyDescent="0.35">
      <c r="A82" t="str">
        <f>'Property-Definition'!A81</f>
        <v>EXEC.MASTER.SLAVES.GET</v>
      </c>
      <c r="B82" t="str">
        <f>"public final static String "
&amp; UPPER(
    SUBSTITUTE(
        SUBSTITUTE('Property-Definition'!D81,"[X]",""),".","_")
)
&amp; " = "
&amp; CHAR(34)
&amp; 'Property-Definition'!D81
&amp; CHAR(34)
&amp; ";"</f>
        <v>public final static String BGPLATFORM_MEMORYMB = "bgplatform[X].memorymb";</v>
      </c>
    </row>
    <row r="83" spans="1:2" x14ac:dyDescent="0.35">
      <c r="A83" t="str">
        <f>'Property-Definition'!A82</f>
        <v>EXEC.MASTER.SLAVES.GET</v>
      </c>
      <c r="B83" t="str">
        <f>"public final static String "
&amp; UPPER(
    SUBSTITUTE(
        SUBSTITUTE('Property-Definition'!D82,"[X]",""),".","_")
)
&amp; " = "
&amp; CHAR(34)
&amp; 'Property-Definition'!D82
&amp; CHAR(34)
&amp; ";"</f>
        <v>public final static String BGPLATFORM_BENCHMARKVALUE = "bgplatform[X].benchmarkvalue";</v>
      </c>
    </row>
    <row r="84" spans="1:2" x14ac:dyDescent="0.35">
      <c r="A84" t="str">
        <f>'Property-Definition'!A83</f>
        <v>EXEC.MASTER.SLAVES.GET</v>
      </c>
      <c r="B84" t="str">
        <f>"public final static String "
&amp; UPPER(
    SUBSTITUTE(
        SUBSTITUTE('Property-Definition'!D83,"[X]",""),".","_")
)
&amp; " = "
&amp; CHAR(34)
&amp; 'Property-Definition'!D83
&amp; CHAR(34)
&amp; ";"</f>
        <v>public final static String BGPLATFORM_TIME_ONLINESINCE = "bgplatform[X].time.onlinesince";</v>
      </c>
    </row>
    <row r="85" spans="1:2" x14ac:dyDescent="0.35">
      <c r="A85" t="str">
        <f>'Property-Definition'!A84</f>
        <v>EXEC.MASTER.SLAVES.GET</v>
      </c>
      <c r="B85" t="str">
        <f>"public final static String "
&amp; UPPER(
    SUBSTITUTE(
        SUBSTITUTE('Property-Definition'!D84,"[X]",""),".","_")
)
&amp; " = "
&amp; CHAR(34)
&amp; 'Property-Definition'!D84
&amp; CHAR(34)
&amp; ";"</f>
        <v>public final static String BGPLATFORM_TIME_LASTCONTACT = "bgplatform[X].time.lastcontact";</v>
      </c>
    </row>
    <row r="86" spans="1:2" x14ac:dyDescent="0.35">
      <c r="A86" t="str">
        <f>'Property-Definition'!A85</f>
        <v>EXEC.MASTER.SLAVES.GET</v>
      </c>
      <c r="B86" t="str">
        <f>"public final static String "
&amp; UPPER(
    SUBSTITUTE(
        SUBSTITUTE('Property-Definition'!D85,"[X]",""),".","_")
)
&amp; " = "
&amp; CHAR(34)
&amp; 'Property-Definition'!D85
&amp; CHAR(34)
&amp; ";"</f>
        <v>public final static String BGPLATFORM_LOCALTIME_ONLINESINCE = "bgplatform[X].localtime.onlinesince";</v>
      </c>
    </row>
    <row r="87" spans="1:2" x14ac:dyDescent="0.35">
      <c r="A87" t="str">
        <f>'Property-Definition'!A86</f>
        <v>EXEC.MASTER.SLAVES.GET</v>
      </c>
      <c r="B87" t="str">
        <f>"public final static String "
&amp; UPPER(
    SUBSTITUTE(
        SUBSTITUTE('Property-Definition'!D86,"[X]",""),".","_")
)
&amp; " = "
&amp; CHAR(34)
&amp; 'Property-Definition'!D86
&amp; CHAR(34)
&amp; ";"</f>
        <v>public final static String BGPLATFORM_LOCALTIME_LASTCONTACT = "bgplatform[X].localtime.lastcontact";</v>
      </c>
    </row>
    <row r="88" spans="1:2" x14ac:dyDescent="0.35">
      <c r="A88" t="str">
        <f>'Property-Definition'!A87</f>
        <v>EXEC.MASTER.SLAVES.GET</v>
      </c>
      <c r="B88" t="str">
        <f>"public final static String "
&amp; UPPER(
    SUBSTITUTE(
        SUBSTITUTE('Property-Definition'!D87,"[X]",""),".","_")
)
&amp; " = "
&amp; CHAR(34)
&amp; 'Property-Definition'!D87
&amp; CHAR(34)
&amp; ";"</f>
        <v>public final static String BGPLATFORM_CURRENTLYAVAILABLE = "bgplatform[X].currentlyavailable";</v>
      </c>
    </row>
    <row r="89" spans="1:2" x14ac:dyDescent="0.35">
      <c r="A89" t="str">
        <f>'Property-Definition'!A88</f>
        <v>EXEC.MASTER.SLAVES.GET</v>
      </c>
      <c r="B89" t="str">
        <f>"public final static String "
&amp; UPPER(
    SUBSTITUTE(
        SUBSTITUTE('Property-Definition'!D88,"[X]",""),".","_")
)
&amp; " = "
&amp; CHAR(34)
&amp; 'Property-Definition'!D88
&amp; CHAR(34)
&amp; ";"</f>
        <v>public final static String BGPLATFORM_CURRENT_CPULOAD = "bgplatform[X].current.cpuload";</v>
      </c>
    </row>
    <row r="90" spans="1:2" x14ac:dyDescent="0.35">
      <c r="A90" t="str">
        <f>'Property-Definition'!A89</f>
        <v>EXEC.MASTER.SLAVES.GET</v>
      </c>
      <c r="B90" t="str">
        <f>"public final static String "
&amp; UPPER(
    SUBSTITUTE(
        SUBSTITUTE('Property-Definition'!D89,"[X]",""),".","_")
)
&amp; " = "
&amp; CHAR(34)
&amp; 'Property-Definition'!D89
&amp; CHAR(34)
&amp; ";"</f>
        <v>public final static String BGPLATFORM_CURRENT_MEMORYLOAD = "bgplatform[X].current.memoryload";</v>
      </c>
    </row>
    <row r="91" spans="1:2" x14ac:dyDescent="0.35">
      <c r="A91" t="str">
        <f>'Property-Definition'!A90</f>
        <v>EXEC.MASTER.SLAVES.GET</v>
      </c>
      <c r="B91" t="str">
        <f>"public final static String "
&amp; UPPER(
    SUBSTITUTE(
        SUBSTITUTE('Property-Definition'!D90,"[X]",""),".","_")
)
&amp; " = "
&amp; CHAR(34)
&amp; 'Property-Definition'!D90
&amp; CHAR(34)
&amp; ";"</f>
        <v>public final static String BGPLATFORM_CURRENT_MEMORYLOADJVM = "bgplatform[X].current.memoryloadjvm";</v>
      </c>
    </row>
    <row r="92" spans="1:2" x14ac:dyDescent="0.35">
      <c r="A92" t="str">
        <f>'Property-Definition'!A91</f>
        <v>EXEC.MASTER.SLAVES.GET</v>
      </c>
      <c r="B92" t="str">
        <f>"public final static String "
&amp; UPPER(
    SUBSTITUTE(
        SUBSTITUTE('Property-Definition'!D91,"[X]",""),".","_")
)
&amp; " = "
&amp; CHAR(34)
&amp; 'Property-Definition'!D91
&amp; CHAR(34)
&amp; ";"</f>
        <v>public final static String BGPLATFORM_CURRENT_NUMTHREADS = "bgplatform[X].current.numthreads";</v>
      </c>
    </row>
    <row r="93" spans="1:2" x14ac:dyDescent="0.35">
      <c r="A93" t="str">
        <f>'Property-Definition'!A92</f>
        <v>EXEC.MASTER.SLAVES.GET</v>
      </c>
      <c r="B93" t="str">
        <f>"public final static String "
&amp; UPPER(
    SUBSTITUTE(
        SUBSTITUTE('Property-Definition'!D92,"[X]",""),".","_")
)
&amp; " = "
&amp; CHAR(34)
&amp; 'Property-Definition'!D92
&amp; CHAR(34)
&amp; ";"</f>
        <v>public final static String BGPLATFORM_CURRENT_THRESHOLDEXCEEDED = "bgplatform[X].current.thresholdexceeded";</v>
      </c>
    </row>
    <row r="94" spans="1:2" x14ac:dyDescent="0.35">
      <c r="A94" t="str">
        <f>'Property-Definition'!A93</f>
        <v>UPDATE.STRATEGY</v>
      </c>
      <c r="B94" t="str">
        <f>"public final static String "
&amp; UPPER(
    SUBSTITUTE(
        SUBSTITUTE('Property-Definition'!D93,"[X]",""),".","_")
)
&amp; " = "
&amp; CHAR(34)
&amp; 'Property-Definition'!D93
&amp; CHAR(34)
&amp; ";"</f>
        <v>public final static String ISAUTOUPDATE = "isautoupdate";</v>
      </c>
    </row>
    <row r="95" spans="1:2" x14ac:dyDescent="0.35">
      <c r="A95" t="str">
        <f>'Property-Definition'!A94</f>
        <v>UPDATE.BACKEND.CHECK</v>
      </c>
      <c r="B95" t="str">
        <f>"public final static String "
&amp; UPPER(
    SUBSTITUTE(
        SUBSTITUTE('Property-Definition'!D94,"[X]",""),".","_")
)
&amp; " = "
&amp; CHAR(34)
&amp; 'Property-Definition'!D94
&amp; CHAR(34)
&amp; ";"</f>
        <v>public final static String UPDATECHECK_BACKEND_ISPENDING = "updatecheck.backend.ispending";</v>
      </c>
    </row>
    <row r="96" spans="1:2" x14ac:dyDescent="0.35">
      <c r="A96" t="str">
        <f>'Property-Definition'!A95</f>
        <v>UPDATE.BACKEND.CHECK</v>
      </c>
      <c r="B96" t="str">
        <f>"public final static String "
&amp; UPPER(
    SUBSTITUTE(
        SUBSTITUTE('Property-Definition'!D95,"[X]",""),".","_")
)
&amp; " = "
&amp; CHAR(34)
&amp; 'Property-Definition'!D95
&amp; CHAR(34)
&amp; ";"</f>
        <v>public final static String UPDATECHECK_BACKEND_ISAVAILABLE = "updatecheck.backend.isavailable";</v>
      </c>
    </row>
    <row r="97" spans="1:2" x14ac:dyDescent="0.35">
      <c r="A97" t="str">
        <f>'Property-Definition'!A96</f>
        <v>UPDATE.BACKEND.CHECK</v>
      </c>
      <c r="B97" t="str">
        <f>"public final static String "
&amp; UPPER(
    SUBSTITUTE(
        SUBSTITUTE('Property-Definition'!D96,"[X]",""),".","_")
)
&amp; " = "
&amp; CHAR(34)
&amp; 'Property-Definition'!D96
&amp; CHAR(34)
&amp; ";"</f>
        <v>public final static String UPDATECHECK_BACKEND_LASTCHECK = "updatecheck.backend.lastcheck";</v>
      </c>
    </row>
    <row r="98" spans="1:2" x14ac:dyDescent="0.35">
      <c r="A98" t="e">
        <f>'Property-Definition'!#REF!</f>
        <v>#REF!</v>
      </c>
      <c r="B98" t="e">
        <f>"public final static String "
&amp; UPPER(
    SUBSTITUTE(
        SUBSTITUTE('Property-Definition'!#REF!,"[X]",""),".","_")
)
&amp; " = "
&amp; CHAR(34)
&amp; 'Property-Definition'!#REF!
&amp; CHAR(34)
&amp; ";"</f>
        <v>#REF!</v>
      </c>
    </row>
    <row r="99" spans="1:2" x14ac:dyDescent="0.35">
      <c r="A99" t="str">
        <f>'Property-Definition'!A100</f>
        <v>UPDATE.FRONTEND.CHECK</v>
      </c>
      <c r="B99" t="str">
        <f>"public final static String "
&amp; UPPER(
    SUBSTITUTE(
        SUBSTITUTE('Property-Definition'!D100,"[X]",""),".","_")
)
&amp; " = "
&amp; CHAR(34)
&amp; 'Property-Definition'!D100
&amp; CHAR(34)
&amp; ";"</f>
        <v>public final static String UPDATECHECK_FRONTEND_ISPENDING = "updatecheck.frontend.ispending";</v>
      </c>
    </row>
    <row r="100" spans="1:2" x14ac:dyDescent="0.35">
      <c r="A100" t="str">
        <f>'Property-Definition'!A101</f>
        <v>UPDATE.FRONTEND.CHECK</v>
      </c>
      <c r="B100" t="str">
        <f>"public final static String "
&amp; UPPER(
    SUBSTITUTE(
        SUBSTITUTE('Property-Definition'!D101,"[X]",""),".","_")
)
&amp; " = "
&amp; CHAR(34)
&amp; 'Property-Definition'!D101
&amp; CHAR(34)
&amp; ";"</f>
        <v>public final static String UPDATECHECK_FRONTEND_ISAVAILABLE = "updatecheck.frontend.isavailable";</v>
      </c>
    </row>
    <row r="101" spans="1:2" x14ac:dyDescent="0.35">
      <c r="A101" t="str">
        <f>'Property-Definition'!A102</f>
        <v>UPDATE.FRONTEND.CHECK</v>
      </c>
      <c r="B101" t="str">
        <f>"public final static String "
&amp; UPPER(
    SUBSTITUTE(
        SUBSTITUTE('Property-Definition'!D102,"[X]",""),".","_")
)
&amp; " = "
&amp; CHAR(34)
&amp; 'Property-Definition'!D102
&amp; CHAR(34)
&amp; ";"</f>
        <v>public final static String UPDATECHECK_FRONTEND_LASTCHECK = "updatecheck.frontend.lastcheck";</v>
      </c>
    </row>
    <row r="102" spans="1:2" x14ac:dyDescent="0.35">
      <c r="A102" t="str">
        <f>'Property-Definition'!A104</f>
        <v>UPDATE.FRONTEND.CHECK</v>
      </c>
      <c r="B102" t="str">
        <f>"public final static String "
&amp; UPPER(
    SUBSTITUTE(
        SUBSTITUTE('Property-Definition'!D104,"[X]",""),".","_")
)
&amp; " = "
&amp; CHAR(34)
&amp; 'Property-Definition'!D104
&amp; CHAR(34)
&amp; ";"</f>
        <v>public final static String UPDATECHECK_FRONTEND_NEWVERSION = "updatecheck.frontend.newversion";</v>
      </c>
    </row>
    <row r="103" spans="1:2" x14ac:dyDescent="0.35">
      <c r="A103" t="str">
        <f>'Property-Definition'!A103</f>
        <v>UPDATE.FRONTEND.CHECK</v>
      </c>
    </row>
    <row r="104" spans="1:2" x14ac:dyDescent="0.35">
      <c r="A104" t="str">
        <f>'Property-Definition'!A105</f>
        <v>UPDATE.FRONTEND.EXECUTE</v>
      </c>
    </row>
    <row r="105" spans="1:2" x14ac:dyDescent="0.35">
      <c r="A105" t="str">
        <f>'Property-Definition'!A106</f>
        <v>UPDATE.FRONTEND.EXECUTE</v>
      </c>
    </row>
    <row r="106" spans="1:2" x14ac:dyDescent="0.35">
      <c r="A106">
        <f>'Property-Definition'!A107</f>
        <v>0</v>
      </c>
    </row>
    <row r="107" spans="1:2" x14ac:dyDescent="0.35">
      <c r="A107">
        <f>'Property-Definition'!A108</f>
        <v>0</v>
      </c>
    </row>
    <row r="108" spans="1:2" x14ac:dyDescent="0.35">
      <c r="A108">
        <f>'Property-Definition'!A109</f>
        <v>0</v>
      </c>
    </row>
    <row r="109" spans="1:2" x14ac:dyDescent="0.35">
      <c r="A109">
        <f>'Property-Definition'!A110</f>
        <v>0</v>
      </c>
    </row>
    <row r="110" spans="1:2" x14ac:dyDescent="0.35">
      <c r="A110">
        <f>'Property-Definition'!A111</f>
        <v>0</v>
      </c>
    </row>
    <row r="111" spans="1:2" x14ac:dyDescent="0.35">
      <c r="A111">
        <f>'Property-Definition'!A112</f>
        <v>0</v>
      </c>
    </row>
    <row r="112" spans="1:2" x14ac:dyDescent="0.35">
      <c r="A112">
        <f>'Property-Definition'!A113</f>
        <v>0</v>
      </c>
    </row>
    <row r="113" spans="1:1" x14ac:dyDescent="0.35">
      <c r="A113">
        <f>'Property-Definition'!A114</f>
        <v>0</v>
      </c>
    </row>
  </sheetData>
  <autoFilter ref="A1:B93" xr:uid="{F30A1E73-A707-4178-9C72-9AC27F9EE5F7}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FB79D76D905EB41B4AD64ED4839597F" ma:contentTypeVersion="11" ma:contentTypeDescription="Ein neues Dokument erstellen." ma:contentTypeScope="" ma:versionID="0622d98e252eab518d4b54f931ba6851">
  <xsd:schema xmlns:xsd="http://www.w3.org/2001/XMLSchema" xmlns:xs="http://www.w3.org/2001/XMLSchema" xmlns:p="http://schemas.microsoft.com/office/2006/metadata/properties" xmlns:ns2="897f6830-f425-409d-b8f5-ce1019056d9e" xmlns:ns3="f2404b4d-361b-46d3-b2ec-035eed29e274" targetNamespace="http://schemas.microsoft.com/office/2006/metadata/properties" ma:root="true" ma:fieldsID="dd5f302b3846fd12003b89c8f5b7df36" ns2:_="" ns3:_="">
    <xsd:import namespace="897f6830-f425-409d-b8f5-ce1019056d9e"/>
    <xsd:import namespace="f2404b4d-361b-46d3-b2ec-035eed29e27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7f6830-f425-409d-b8f5-ce1019056d9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ildmarkierungen" ma:readOnly="false" ma:fieldId="{5cf76f15-5ced-4ddc-b409-7134ff3c332f}" ma:taxonomyMulti="true" ma:sspId="e15d79c3-0059-4ac5-86a1-cea3d911e6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04b4d-361b-46d3-b2ec-035eed29e27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b6d854a-ba95-410b-89a3-6da5fcfbdf48}" ma:internalName="TaxCatchAll" ma:showField="CatchAllData" ma:web="f2404b4d-361b-46d3-b2ec-035eed29e2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7f6830-f425-409d-b8f5-ce1019056d9e">
      <Terms xmlns="http://schemas.microsoft.com/office/infopath/2007/PartnerControls"/>
    </lcf76f155ced4ddcb4097134ff3c332f>
    <TaxCatchAll xmlns="f2404b4d-361b-46d3-b2ec-035eed29e274" xsi:nil="true"/>
  </documentManagement>
</p:properties>
</file>

<file path=customXml/itemProps1.xml><?xml version="1.0" encoding="utf-8"?>
<ds:datastoreItem xmlns:ds="http://schemas.openxmlformats.org/officeDocument/2006/customXml" ds:itemID="{A33EE264-283E-4F19-BA61-B3264EA417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7f6830-f425-409d-b8f5-ce1019056d9e"/>
    <ds:schemaRef ds:uri="f2404b4d-361b-46d3-b2ec-035eed29e2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599C1F-5A6A-4B10-87A3-7E73F8495C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16440F-B0E0-4269-97EE-BEB05B0223C8}">
  <ds:schemaRefs>
    <ds:schemaRef ds:uri="http://schemas.microsoft.com/office/2006/metadata/properties"/>
    <ds:schemaRef ds:uri="http://schemas.microsoft.com/office/infopath/2007/PartnerControls"/>
    <ds:schemaRef ds:uri="897f6830-f425-409d-b8f5-ce1019056d9e"/>
    <ds:schemaRef ds:uri="f2404b4d-361b-46d3-b2ec-035eed29e27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Property-Definition</vt:lpstr>
      <vt:lpstr>Java-Code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Derksen</dc:creator>
  <cp:lastModifiedBy>Daniel Bormann</cp:lastModifiedBy>
  <dcterms:created xsi:type="dcterms:W3CDTF">2015-06-05T18:19:34Z</dcterms:created>
  <dcterms:modified xsi:type="dcterms:W3CDTF">2026-06-11T16:00:02Z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0x0101004FB79D76D905EB41B4AD64ED4839597F</vt:lpwstr>
  </property>
  <property fmtid="{D5CDD505-2E9C-101B-9397-08002B2CF9AE}" pid="3" name="MediaServiceImageTags">
    <vt:lpwstr/>
  </property>
</Properties>
</file>